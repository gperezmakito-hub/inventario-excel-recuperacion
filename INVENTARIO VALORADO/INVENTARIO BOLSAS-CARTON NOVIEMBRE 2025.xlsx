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Y:\COSTES Y PRODUCCIÓN\INVENTARIOS\INVENTARIOS ENVIADOS A MANOLO\2025\"/>
    </mc:Choice>
  </mc:AlternateContent>
  <xr:revisionPtr revIDLastSave="0" documentId="13_ncr:1_{FC4DE830-3623-4959-A955-9614CF4306DB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SUMEN" sheetId="7" r:id="rId1"/>
    <sheet name="INV." sheetId="6" r:id="rId2"/>
  </sheets>
  <definedNames>
    <definedName name="_xlnm.Print_Area" localSheetId="0">RESUMEN!$A$1:$N$36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7" l="1"/>
  <c r="E18" i="7"/>
  <c r="L99" i="6" l="1" a="1"/>
  <c r="L99" i="6" s="1"/>
  <c r="L94" i="6" l="1" a="1"/>
  <c r="L94" i="6" s="1"/>
  <c r="L95" i="6" a="1"/>
  <c r="L95" i="6" s="1"/>
  <c r="L96" i="6" a="1"/>
  <c r="L96" i="6" s="1"/>
  <c r="L97" i="6" a="1"/>
  <c r="L97" i="6" s="1"/>
  <c r="L98" i="6" a="1"/>
  <c r="L98" i="6" s="1"/>
  <c r="L90" i="6" l="1" a="1"/>
  <c r="L90" i="6" s="1"/>
  <c r="L91" i="6" a="1"/>
  <c r="L91" i="6" s="1"/>
  <c r="L92" i="6" a="1"/>
  <c r="L92" i="6" s="1"/>
  <c r="L93" i="6" a="1"/>
  <c r="L93" i="6" s="1"/>
  <c r="L88" i="6" a="1"/>
  <c r="L88" i="6" s="1"/>
  <c r="L89" i="6" a="1"/>
  <c r="L89" i="6" s="1"/>
  <c r="L87" i="6" a="1"/>
  <c r="L87" i="6" s="1"/>
  <c r="L84" i="6" l="1" a="1"/>
  <c r="L84" i="6" s="1"/>
  <c r="L85" i="6" a="1"/>
  <c r="L85" i="6" s="1"/>
  <c r="L86" i="6" a="1"/>
  <c r="L86" i="6" s="1"/>
  <c r="L76" i="6" a="1"/>
  <c r="L76" i="6" s="1"/>
  <c r="L77" i="6" a="1"/>
  <c r="L77" i="6" s="1"/>
  <c r="L78" i="6" a="1"/>
  <c r="L78" i="6" s="1"/>
  <c r="L79" i="6" a="1"/>
  <c r="L79" i="6" s="1"/>
  <c r="L80" i="6" a="1"/>
  <c r="L80" i="6" s="1"/>
  <c r="L81" i="6" a="1"/>
  <c r="L81" i="6" s="1"/>
  <c r="L82" i="6" a="1"/>
  <c r="L82" i="6" s="1"/>
  <c r="L83" i="6" a="1"/>
  <c r="L83" i="6" s="1"/>
  <c r="L18" i="6" l="1" a="1"/>
  <c r="L18" i="6" s="1"/>
  <c r="L19" i="6" a="1"/>
  <c r="L19" i="6" s="1"/>
  <c r="L20" i="6" a="1"/>
  <c r="L20" i="6" s="1"/>
  <c r="L30" i="6" a="1"/>
  <c r="L30" i="6" s="1"/>
  <c r="L31" i="6" a="1"/>
  <c r="L31" i="6" s="1"/>
  <c r="L21" i="6" a="1"/>
  <c r="L21" i="6" s="1"/>
  <c r="L22" i="6" a="1"/>
  <c r="L22" i="6" s="1"/>
  <c r="L23" i="6" a="1"/>
  <c r="L23" i="6" s="1"/>
  <c r="L24" i="6" a="1"/>
  <c r="L24" i="6" s="1"/>
  <c r="L25" i="6" a="1"/>
  <c r="L25" i="6" s="1"/>
  <c r="L26" i="6" a="1"/>
  <c r="L26" i="6" s="1"/>
  <c r="L27" i="6" a="1"/>
  <c r="L27" i="6" s="1"/>
  <c r="L28" i="6" a="1"/>
  <c r="L28" i="6" s="1"/>
  <c r="L29" i="6" a="1"/>
  <c r="L29" i="6" s="1"/>
  <c r="L8" i="6" a="1"/>
  <c r="L8" i="6" s="1"/>
  <c r="L9" i="6" a="1"/>
  <c r="L9" i="6" s="1"/>
  <c r="L10" i="6" a="1"/>
  <c r="L10" i="6" s="1"/>
  <c r="L11" i="6" a="1"/>
  <c r="L11" i="6" s="1"/>
  <c r="L12" i="6" a="1"/>
  <c r="L12" i="6" s="1"/>
  <c r="L13" i="6" a="1"/>
  <c r="L13" i="6" s="1"/>
  <c r="L14" i="6" a="1"/>
  <c r="L14" i="6" s="1"/>
  <c r="L15" i="6" a="1"/>
  <c r="L15" i="6" s="1"/>
  <c r="L16" i="6" a="1"/>
  <c r="L16" i="6" s="1"/>
  <c r="L17" i="6" a="1"/>
  <c r="L17" i="6" s="1"/>
  <c r="L33" i="6" l="1" a="1"/>
  <c r="L33" i="6" s="1"/>
  <c r="L34" i="6" a="1"/>
  <c r="L34" i="6" s="1"/>
  <c r="L35" i="6" a="1"/>
  <c r="L35" i="6" s="1"/>
  <c r="L36" i="6" a="1"/>
  <c r="L36" i="6" s="1"/>
  <c r="L37" i="6" a="1"/>
  <c r="L37" i="6" s="1"/>
  <c r="L38" i="6" a="1"/>
  <c r="L38" i="6" s="1"/>
  <c r="L39" i="6" a="1"/>
  <c r="L39" i="6" s="1"/>
  <c r="L40" i="6" a="1"/>
  <c r="L40" i="6" s="1"/>
  <c r="L41" i="6" a="1"/>
  <c r="L41" i="6" s="1"/>
  <c r="L42" i="6" a="1"/>
  <c r="L42" i="6" s="1"/>
  <c r="L43" i="6" a="1"/>
  <c r="L43" i="6" s="1"/>
  <c r="L44" i="6" a="1"/>
  <c r="L44" i="6" s="1"/>
  <c r="L45" i="6" a="1"/>
  <c r="L45" i="6" s="1"/>
  <c r="L46" i="6" a="1"/>
  <c r="L46" i="6" s="1"/>
  <c r="L47" i="6" a="1"/>
  <c r="L47" i="6" s="1"/>
  <c r="L48" i="6" a="1"/>
  <c r="L48" i="6" s="1"/>
  <c r="L49" i="6" a="1"/>
  <c r="L49" i="6" s="1"/>
  <c r="L50" i="6" a="1"/>
  <c r="L50" i="6" s="1"/>
  <c r="L51" i="6" a="1"/>
  <c r="L51" i="6" s="1"/>
  <c r="L52" i="6" a="1"/>
  <c r="L52" i="6" s="1"/>
  <c r="L53" i="6" a="1"/>
  <c r="L53" i="6" s="1"/>
  <c r="L54" i="6" a="1"/>
  <c r="L54" i="6" s="1"/>
  <c r="L55" i="6" a="1"/>
  <c r="L55" i="6" s="1"/>
  <c r="L56" i="6" a="1"/>
  <c r="L56" i="6" s="1"/>
  <c r="L57" i="6" a="1"/>
  <c r="L57" i="6" s="1"/>
  <c r="L58" i="6" a="1"/>
  <c r="L58" i="6" s="1"/>
  <c r="L59" i="6" a="1"/>
  <c r="L59" i="6" s="1"/>
  <c r="L60" i="6" a="1"/>
  <c r="L60" i="6" s="1"/>
  <c r="L61" i="6" a="1"/>
  <c r="L61" i="6" s="1"/>
  <c r="L62" i="6" a="1"/>
  <c r="L62" i="6" s="1"/>
  <c r="L63" i="6" a="1"/>
  <c r="L63" i="6" s="1"/>
  <c r="L64" i="6" a="1"/>
  <c r="L64" i="6" s="1"/>
  <c r="L65" i="6" a="1"/>
  <c r="L65" i="6" s="1"/>
  <c r="L66" i="6" a="1"/>
  <c r="L66" i="6" s="1"/>
  <c r="L67" i="6" a="1"/>
  <c r="L67" i="6" s="1"/>
  <c r="L68" i="6" a="1"/>
  <c r="L68" i="6" s="1"/>
  <c r="L69" i="6" a="1"/>
  <c r="L69" i="6" s="1"/>
  <c r="L70" i="6" a="1"/>
  <c r="L70" i="6" s="1"/>
  <c r="L71" i="6" a="1"/>
  <c r="L71" i="6" s="1"/>
  <c r="L72" i="6" a="1"/>
  <c r="L72" i="6" s="1"/>
  <c r="L73" i="6" a="1"/>
  <c r="L73" i="6" s="1"/>
  <c r="L74" i="6" a="1"/>
  <c r="L74" i="6" s="1"/>
  <c r="L75" i="6" a="1"/>
  <c r="L75" i="6" s="1"/>
  <c r="L32" i="6" a="1"/>
  <c r="L32" i="6" s="1"/>
  <c r="G100" i="6"/>
  <c r="D5" i="6" l="1"/>
  <c r="L100" i="6" l="1"/>
  <c r="D4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<sst xmlns="http://schemas.openxmlformats.org/spreadsheetml/2006/main" count="305" uniqueCount="136">
  <si>
    <t>Precio</t>
  </si>
  <si>
    <t>Valor</t>
  </si>
  <si>
    <t>Nº</t>
  </si>
  <si>
    <t>Tipo Pintura / Serie</t>
  </si>
  <si>
    <t>Dto.1</t>
  </si>
  <si>
    <t>Dto.2</t>
  </si>
  <si>
    <t>-</t>
  </si>
  <si>
    <t>STOCK</t>
  </si>
  <si>
    <t>Categoría</t>
  </si>
  <si>
    <t>BALANZAS</t>
  </si>
  <si>
    <t>CARTON</t>
  </si>
  <si>
    <t>PRECINTOS</t>
  </si>
  <si>
    <t>BOLSAS</t>
  </si>
  <si>
    <t>PAPEL</t>
  </si>
  <si>
    <t>BALANZA ELEC. 2000G/0,1G SERIE 5161</t>
  </si>
  <si>
    <t>A Anónima</t>
  </si>
  <si>
    <t>G-C</t>
  </si>
  <si>
    <t>H Calendarios</t>
  </si>
  <si>
    <t>B1 Publindal</t>
  </si>
  <si>
    <t>B1N Publindal</t>
  </si>
  <si>
    <t>B1N Anónima</t>
  </si>
  <si>
    <t>H2 Publindal H2 (Duras)</t>
  </si>
  <si>
    <t>H2 Publindal H2M (Blandas)</t>
  </si>
  <si>
    <t>F Publindal</t>
  </si>
  <si>
    <t>L</t>
  </si>
  <si>
    <t>N</t>
  </si>
  <si>
    <t>F Anónima</t>
  </si>
  <si>
    <t>CINTA PP TRANS. SOLVENTE 48X132 (36 Rollos)</t>
  </si>
  <si>
    <t>CINTA PP MARRON SOLVENTE 48X132 (36 Rollos)</t>
  </si>
  <si>
    <t>CINTAS TRANSPARENTE LYRECO 19MMX66M PK8</t>
  </si>
  <si>
    <t>BOLSAS 5 x 21 PAPEL</t>
  </si>
  <si>
    <t>BOLSAS 6 x 8 + 3 G/100 TR PP SOLAPA ADHESIVA</t>
  </si>
  <si>
    <t>BOLSAS 6 X 8 Autocierre</t>
  </si>
  <si>
    <t>BOLSAS 7 X 10 + 4 40 Micras PP</t>
  </si>
  <si>
    <t>BOLSAS 8 X 15 + 3 G/100 TR PP SOLAPA ADHESIVA</t>
  </si>
  <si>
    <t>BOLSAS 8 X 15 G/125 TR Anónima</t>
  </si>
  <si>
    <t>BOLSAS 10 X 20 G/120 TR Anónima</t>
  </si>
  <si>
    <t>BOLSAS 11 X 11 G/120 TR Anónima</t>
  </si>
  <si>
    <t>BOLSAS 11 X 16 Con Adhesivo</t>
  </si>
  <si>
    <t>BOLSAS 12 X 35 Con Adhesivo</t>
  </si>
  <si>
    <t>BOLSAS 15 X 20 G/120 TR Anónima</t>
  </si>
  <si>
    <t>BOLSAS 20 X 25 G/120 TR Anónima</t>
  </si>
  <si>
    <t>BOLSAS 27 X 35 G/120 TR Anónima</t>
  </si>
  <si>
    <t>BOLSAS 32 X 40 G/120 TR Anónima</t>
  </si>
  <si>
    <t>BOLSAS 32 X 40 Publindal</t>
  </si>
  <si>
    <t>BOLSAS 35 X 40 G/120 TR Anónima</t>
  </si>
  <si>
    <t>BOLSAS 35 X 45 Publindal</t>
  </si>
  <si>
    <t>BOLSAS 40 X 50 G/120 TR Anónima</t>
  </si>
  <si>
    <t>BOLSAS 40 X 60 G/120 TR Anónima</t>
  </si>
  <si>
    <t>BOLSAS 60 x 80 G/120 TR Anónima</t>
  </si>
  <si>
    <t>BOLSAS 60 X 90 G/120 TR Anónima</t>
  </si>
  <si>
    <t>Palets / Caja / Paq.</t>
  </si>
  <si>
    <t>Total</t>
  </si>
  <si>
    <t>Total Stock</t>
  </si>
  <si>
    <t>Kg X Paq.</t>
  </si>
  <si>
    <t>INVENTARIO BOLSAS-CARTON-PAPEL</t>
  </si>
  <si>
    <t>COD. SAP</t>
  </si>
  <si>
    <t>PLASTICOS</t>
  </si>
  <si>
    <t>VARIOS</t>
  </si>
  <si>
    <t>Pattones Marron L</t>
  </si>
  <si>
    <t>Pattones Verde L</t>
  </si>
  <si>
    <t>Pattones Marron M</t>
  </si>
  <si>
    <t>Pattones Marron XL</t>
  </si>
  <si>
    <t>Pattones Verde XL</t>
  </si>
  <si>
    <t>Pattones Verde M</t>
  </si>
  <si>
    <t>Calibrador Universal Para Frutas</t>
  </si>
  <si>
    <t>Jeringa 20 ml</t>
  </si>
  <si>
    <t>PH-metro electronico 0-14:0,1</t>
  </si>
  <si>
    <t>Jeringa 10 ml</t>
  </si>
  <si>
    <t>Jeringa 50 ml</t>
  </si>
  <si>
    <t>Conductimetro electronico</t>
  </si>
  <si>
    <t>Jeringa 2 Cuerpos 2mL         </t>
  </si>
  <si>
    <t>Jeringa 2 Cuerpos 5mL</t>
  </si>
  <si>
    <t>JARRA DOSIFICADORA 2,2L</t>
  </si>
  <si>
    <t>VASO MEDIDOR 600CC</t>
  </si>
  <si>
    <t>VASO MEDIDOR CON ASA 200CC</t>
  </si>
  <si>
    <t>VASO MEDIDOR 100CC</t>
  </si>
  <si>
    <t>VASO MEDIDOR 70CC</t>
  </si>
  <si>
    <t>BOLSAS 15 X 25 G/120 TR Anónima</t>
  </si>
  <si>
    <t>BOTE 280 CC REDONDO TRANSPARENTE</t>
  </si>
  <si>
    <t>BOTE 1000 CC REDONDO TRANSPARENTE</t>
  </si>
  <si>
    <t>BOTE 1500 CC REDONDO TRANSPARENTE</t>
  </si>
  <si>
    <t>BOTE 3700 CC REDONDO TRANSPARENTE</t>
  </si>
  <si>
    <t>TAPA 280/420/500-2 CC REDONDA TRANSP</t>
  </si>
  <si>
    <t>TAPA 500/750/1000 CC REDONDA TRANSP</t>
  </si>
  <si>
    <t>TAPA 1500 CC REDONDA TRANSPARENTE</t>
  </si>
  <si>
    <t>TAPA 3700 CC REDONDA TRANSPARENTE</t>
  </si>
  <si>
    <t>SEPARADOR PLUVIOMETROS 57X40 35 HUECOS</t>
  </si>
  <si>
    <t>PRECINTO TRANSP. 200MX48MM 36 (ROLLOS)</t>
  </si>
  <si>
    <t>PRECINTO MARRON 200MX48MM 36 (ROLLOS)</t>
  </si>
  <si>
    <t>DISPENSADOR PRECINTO</t>
  </si>
  <si>
    <t>BOBINA PAPEL  3,5Kg GOFRADO 2ud.</t>
  </si>
  <si>
    <t>Mes</t>
  </si>
  <si>
    <t>Fecha</t>
  </si>
  <si>
    <t>Exis. iniciales</t>
  </si>
  <si>
    <t>Compras</t>
  </si>
  <si>
    <t>Exis. Finales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</si>
  <si>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</si>
  <si>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</si>
  <si>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</si>
  <si>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</si>
  <si>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</si>
  <si>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</si>
  <si>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</si>
  <si>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</si>
  <si>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</si>
  <si>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</si>
  <si>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</si>
  <si>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</si>
  <si>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BOLSAS 15 X 30 G/120 TR Anónima</t>
  </si>
  <si>
    <t>BOLSAS 15 X 35 G/120 TR Anónima</t>
  </si>
  <si>
    <t>PRECINTO PUBLINDAL (36 Rollos)</t>
  </si>
  <si>
    <t>PRECINTO PP TRANS. SOLVENTE 48X132 (36 Rollos)</t>
  </si>
  <si>
    <t>PRECINTO PP MARRON SOLVENTE 48X132 (36 Rollos)</t>
  </si>
  <si>
    <t>PRECINTO PP 618 TRANSPARENTE 48X132 (36 Rollos)</t>
  </si>
  <si>
    <t>PRECINTO PP 618 MARRON 48X132 (36 Rollos)</t>
  </si>
  <si>
    <t>CUBO 11L. CON ASA METALICA</t>
  </si>
  <si>
    <t>JARRA 2 EN 1 COL. NATURAL</t>
  </si>
  <si>
    <t>JARRA REDONDA 1L</t>
  </si>
  <si>
    <t>VASO DOSIFICADOR 250CC</t>
  </si>
  <si>
    <t>PLUVIOMETROS CON PINCHO 40L/m2</t>
  </si>
  <si>
    <t>CINTAS TRANSPARENTE PP 618 19MMX132M PK8</t>
  </si>
  <si>
    <t>PRECINTO PUBLINDAL PAPEL ADHES. HABANA ESTÁNDAR</t>
  </si>
  <si>
    <t>BOLSAS 45 X 60 G/120 TR Anónima</t>
  </si>
  <si>
    <t>BOLSAS 15 X 22 + 4 40 MICRAS PP</t>
  </si>
  <si>
    <t>INVENTARIO BOLSAS-CARTON-PAPEL AÑO 2025</t>
  </si>
  <si>
    <t>Salidas</t>
  </si>
  <si>
    <t>FIN 2024</t>
  </si>
  <si>
    <t>BOLSA POLIPROPILENO 27X36+9CM C/SOLAPA</t>
  </si>
  <si>
    <t>BOLSA POLIETILENO 27X36+9CM C/SOLAPA RECICLE</t>
  </si>
  <si>
    <t>BOLSAS 10 X 15 + 3 40 MICRAS PP (RECICLADO)</t>
  </si>
  <si>
    <t>BOLSAS 18 X 25 + 3 40 MICRAS PP (RECICLADO)</t>
  </si>
  <si>
    <t>BOLSAS 40 X 50 + 3 40 MICRAS PP (RECICLADO)</t>
  </si>
  <si>
    <t>PRECINTO MIARCO PACK ACRILICO TRANS. 36UND.</t>
  </si>
  <si>
    <t>INVENTARIO NOVIEMBRE 2025:</t>
  </si>
  <si>
    <t>TOTAL STOCK: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</si>
</sst>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  <numFmt numFmtId="165" formatCode="_-[$$-240A]* #,##0.00_-;\-[$$-240A]* #,##0.00_-;_-[$$-240A]* &quot;-&quot;??_-;_-@"/>
    <numFmt numFmtId="166" formatCode="#,##0\ &quot;Unid.&quot;"/>
    <numFmt numFmtId="167" formatCode="0.000\ &quot;Kg&quot;"/>
    <numFmt numFmtId="168" formatCode="#,#00\ &quot;Unid&quot;"/>
    <numFmt numFmtId="169" formatCode="_-* #,##0.00\ &quot;€&quot;_-;\-* #,##0.00\ &quot;€&quot;_-;_-* &quot;-&quot;\ &quot;€&quot;_-;_-@_-"/>
    <numFmt numFmtId="170" formatCode="_(&quot;€&quot;* #,##0.00_);_(&quot;€&quot;* \(#,##0.00\);_(&quot;€&quot;* &quot;-&quot;??_);_(@_)"/>
  </numFmts>
  <fonts count="43" x14ac:knownFonts="1">
    <font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6"/>
      <color theme="1"/>
      <name val="Arial Narrow"/>
      <family val="2"/>
    </font>
    <font>
      <sz val="11"/>
      <color theme="1"/>
      <name val="Arial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  <scheme val="minor"/>
    </font>
    <font>
      <sz val="10"/>
      <color indexed="8"/>
      <name val="MS Sans Serif"/>
    </font>
    <font>
      <b/>
      <sz val="12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Arial Narrow"/>
      <family val="2"/>
    </font>
    <font>
      <b/>
      <sz val="16"/>
      <color theme="0"/>
      <name val="Arial Narrow"/>
      <family val="2"/>
    </font>
    <font>
      <b/>
      <sz val="10"/>
      <color theme="0"/>
      <name val="Arial Narrow"/>
      <family val="2"/>
    </font>
    <font>
      <b/>
      <sz val="14"/>
      <color theme="0"/>
      <name val="Arial Narrow"/>
      <family val="2"/>
    </font>
    <font>
      <b/>
      <i/>
      <sz val="10"/>
      <color rgb="FF000000"/>
      <name val="Arial Narrow"/>
      <family val="2"/>
    </font>
    <font>
      <sz val="10"/>
      <name val="Arial Narrow"/>
      <family val="2"/>
    </font>
    <font>
      <sz val="8"/>
      <color rgb="FF000000"/>
      <name val="Arial Narrow"/>
      <family val="2"/>
    </font>
    <font>
      <sz val="8"/>
      <name val="Arial Narrow"/>
      <family val="2"/>
    </font>
    <font>
      <i/>
      <sz val="8"/>
      <color rgb="FF000000"/>
      <name val="Arial Narrow"/>
      <family val="2"/>
    </font>
    <font>
      <i/>
      <sz val="10"/>
      <color rgb="FF000000"/>
      <name val="Arial Narrow"/>
      <family val="2"/>
    </font>
    <font>
      <b/>
      <sz val="12"/>
      <color rgb="FF000000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 Narrow"/>
      <family val="2"/>
    </font>
    <font>
      <b/>
      <sz val="16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0000"/>
        <bgColor theme="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theme="5" tint="0.39997558519241921"/>
        <bgColor theme="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rgb="FFA9D08E"/>
      </left>
      <right/>
      <top style="thin">
        <color rgb="FF9CC2E5"/>
      </top>
      <bottom style="thin">
        <color rgb="FFA9D08E"/>
      </bottom>
      <diagonal/>
    </border>
    <border>
      <left/>
      <right/>
      <top style="thin">
        <color rgb="FF9CC2E5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/>
      <bottom style="thin">
        <color rgb="FFA9D08E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theme="3" tint="0.59999389629810485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1" fillId="0" borderId="0" applyFont="0" applyFill="0" applyBorder="0" applyAlignment="0" applyProtection="0"/>
    <xf numFmtId="0" fontId="13" fillId="0" borderId="0"/>
    <xf numFmtId="0" fontId="17" fillId="0" borderId="0"/>
  </cellStyleXfs>
  <cellXfs count="120">
    <xf numFmtId="0" fontId="0" fillId="0" borderId="0" xfId="0"/>
    <xf numFmtId="0" fontId="0" fillId="0" borderId="0" xfId="0" applyProtection="1">
      <protection hidden="1"/>
    </xf>
    <xf numFmtId="0" fontId="18" fillId="0" borderId="0" xfId="0" applyFont="1" applyAlignment="1" applyProtection="1">
      <alignment vertical="center"/>
      <protection hidden="1"/>
    </xf>
    <xf numFmtId="164" fontId="19" fillId="0" borderId="0" xfId="0" applyNumberFormat="1" applyFont="1" applyProtection="1">
      <protection hidden="1"/>
    </xf>
    <xf numFmtId="3" fontId="19" fillId="0" borderId="0" xfId="0" applyNumberFormat="1" applyFont="1" applyProtection="1">
      <protection hidden="1"/>
    </xf>
    <xf numFmtId="164" fontId="19" fillId="7" borderId="4" xfId="0" applyNumberFormat="1" applyFont="1" applyFill="1" applyBorder="1" applyAlignment="1" applyProtection="1">
      <alignment horizontal="center"/>
      <protection hidden="1"/>
    </xf>
    <xf numFmtId="3" fontId="19" fillId="7" borderId="4" xfId="0" applyNumberFormat="1" applyFont="1" applyFill="1" applyBorder="1" applyAlignment="1" applyProtection="1">
      <alignment horizontal="center"/>
      <protection hidden="1"/>
    </xf>
    <xf numFmtId="0" fontId="14" fillId="2" borderId="6" xfId="2" applyFont="1" applyFill="1" applyBorder="1" applyAlignment="1" applyProtection="1">
      <alignment horizontal="center"/>
      <protection hidden="1"/>
    </xf>
    <xf numFmtId="165" fontId="14" fillId="2" borderId="6" xfId="2" applyNumberFormat="1" applyFont="1" applyFill="1" applyBorder="1" applyAlignment="1" applyProtection="1">
      <alignment horizontal="center"/>
      <protection hidden="1"/>
    </xf>
    <xf numFmtId="1" fontId="14" fillId="2" borderId="6" xfId="2" applyNumberFormat="1" applyFont="1" applyFill="1" applyBorder="1" applyAlignment="1" applyProtection="1">
      <alignment horizontal="center" vertical="center"/>
      <protection hidden="1"/>
    </xf>
    <xf numFmtId="1" fontId="14" fillId="3" borderId="6" xfId="2" applyNumberFormat="1" applyFont="1" applyFill="1" applyBorder="1" applyAlignment="1" applyProtection="1">
      <alignment horizontal="center" vertical="center"/>
      <protection hidden="1"/>
    </xf>
    <xf numFmtId="0" fontId="22" fillId="0" borderId="8" xfId="2" applyFont="1" applyBorder="1" applyAlignment="1" applyProtection="1">
      <alignment horizontal="center" vertical="center"/>
      <protection hidden="1"/>
    </xf>
    <xf numFmtId="0" fontId="23" fillId="0" borderId="9" xfId="2" applyFont="1" applyBorder="1" applyAlignment="1" applyProtection="1">
      <alignment horizontal="left" vertical="center"/>
      <protection hidden="1"/>
    </xf>
    <xf numFmtId="164" fontId="24" fillId="8" borderId="10" xfId="1" applyNumberFormat="1" applyFont="1" applyFill="1" applyBorder="1" applyAlignment="1" applyProtection="1">
      <alignment horizontal="center" vertical="center"/>
      <protection hidden="1"/>
    </xf>
    <xf numFmtId="9" fontId="23" fillId="0" borderId="10" xfId="1" applyFont="1" applyFill="1" applyBorder="1" applyAlignment="1" applyProtection="1">
      <alignment horizontal="center" vertical="center"/>
      <protection hidden="1"/>
    </xf>
    <xf numFmtId="164" fontId="10" fillId="0" borderId="5" xfId="2" applyNumberFormat="1" applyFont="1" applyBorder="1" applyAlignment="1" applyProtection="1">
      <alignment horizontal="center" vertical="center"/>
      <protection hidden="1"/>
    </xf>
    <xf numFmtId="0" fontId="22" fillId="0" borderId="11" xfId="2" applyFont="1" applyBorder="1" applyAlignment="1" applyProtection="1">
      <alignment horizontal="center" vertical="center"/>
      <protection hidden="1"/>
    </xf>
    <xf numFmtId="0" fontId="23" fillId="0" borderId="10" xfId="2" applyFont="1" applyBorder="1" applyAlignment="1" applyProtection="1">
      <alignment horizontal="left" vertical="center"/>
      <protection hidden="1"/>
    </xf>
    <xf numFmtId="0" fontId="20" fillId="0" borderId="7" xfId="0" applyFont="1" applyBorder="1" applyAlignment="1" applyProtection="1">
      <alignment horizontal="center" vertical="center"/>
      <protection hidden="1"/>
    </xf>
    <xf numFmtId="0" fontId="15" fillId="2" borderId="6" xfId="2" applyFont="1" applyFill="1" applyBorder="1" applyAlignment="1" applyProtection="1">
      <alignment horizontal="center"/>
      <protection hidden="1"/>
    </xf>
    <xf numFmtId="0" fontId="23" fillId="0" borderId="9" xfId="2" applyFont="1" applyBorder="1" applyAlignment="1" applyProtection="1">
      <alignment horizontal="center" vertical="center"/>
      <protection hidden="1"/>
    </xf>
    <xf numFmtId="0" fontId="23" fillId="0" borderId="10" xfId="2" applyFont="1" applyBorder="1" applyAlignment="1" applyProtection="1">
      <alignment horizontal="center"/>
      <protection hidden="1"/>
    </xf>
    <xf numFmtId="3" fontId="25" fillId="0" borderId="10" xfId="2" applyNumberFormat="1" applyFont="1" applyBorder="1" applyAlignment="1" applyProtection="1">
      <alignment horizontal="center" vertical="center"/>
      <protection hidden="1"/>
    </xf>
    <xf numFmtId="0" fontId="16" fillId="0" borderId="7" xfId="0" applyFont="1" applyBorder="1" applyAlignment="1" applyProtection="1">
      <alignment horizontal="center" vertical="center"/>
      <protection hidden="1"/>
    </xf>
    <xf numFmtId="1" fontId="14" fillId="2" borderId="6" xfId="2" applyNumberFormat="1" applyFont="1" applyFill="1" applyBorder="1" applyAlignment="1" applyProtection="1">
      <alignment horizontal="center"/>
      <protection hidden="1"/>
    </xf>
    <xf numFmtId="167" fontId="23" fillId="0" borderId="10" xfId="2" applyNumberFormat="1" applyFont="1" applyBorder="1" applyAlignment="1" applyProtection="1">
      <alignment horizontal="center"/>
      <protection hidden="1"/>
    </xf>
    <xf numFmtId="168" fontId="21" fillId="0" borderId="10" xfId="2" applyNumberFormat="1" applyFont="1" applyBorder="1" applyAlignment="1" applyProtection="1">
      <alignment horizontal="center" vertical="center" wrapText="1"/>
      <protection hidden="1"/>
    </xf>
    <xf numFmtId="168" fontId="24" fillId="0" borderId="10" xfId="2" applyNumberFormat="1" applyFont="1" applyBorder="1" applyAlignment="1" applyProtection="1">
      <alignment horizontal="center" vertical="center" wrapText="1"/>
      <protection hidden="1"/>
    </xf>
    <xf numFmtId="0" fontId="26" fillId="0" borderId="11" xfId="2" applyFont="1" applyBorder="1" applyAlignment="1" applyProtection="1">
      <alignment horizontal="center" vertical="center"/>
      <protection hidden="1"/>
    </xf>
    <xf numFmtId="0" fontId="27" fillId="0" borderId="10" xfId="2" applyFont="1" applyBorder="1" applyAlignment="1" applyProtection="1">
      <alignment horizontal="center"/>
      <protection hidden="1"/>
    </xf>
    <xf numFmtId="0" fontId="27" fillId="0" borderId="10" xfId="2" applyFont="1" applyBorder="1" applyAlignment="1" applyProtection="1">
      <alignment horizontal="left" vertical="center"/>
      <protection hidden="1"/>
    </xf>
    <xf numFmtId="168" fontId="9" fillId="0" borderId="10" xfId="2" applyNumberFormat="1" applyFont="1" applyBorder="1" applyAlignment="1" applyProtection="1">
      <alignment horizontal="center" vertical="center" wrapText="1"/>
      <protection hidden="1"/>
    </xf>
    <xf numFmtId="3" fontId="28" fillId="0" borderId="10" xfId="2" applyNumberFormat="1" applyFont="1" applyBorder="1" applyAlignment="1" applyProtection="1">
      <alignment horizontal="center" vertical="center"/>
      <protection hidden="1"/>
    </xf>
    <xf numFmtId="166" fontId="9" fillId="0" borderId="10" xfId="2" applyNumberFormat="1" applyFont="1" applyBorder="1" applyAlignment="1" applyProtection="1">
      <alignment horizontal="center" vertical="center" wrapText="1"/>
      <protection hidden="1"/>
    </xf>
    <xf numFmtId="164" fontId="16" fillId="8" borderId="10" xfId="2" applyNumberFormat="1" applyFont="1" applyFill="1" applyBorder="1" applyAlignment="1" applyProtection="1">
      <alignment horizontal="center" vertical="center"/>
      <protection hidden="1"/>
    </xf>
    <xf numFmtId="9" fontId="27" fillId="0" borderId="10" xfId="2" applyNumberFormat="1" applyFont="1" applyBorder="1" applyAlignment="1" applyProtection="1">
      <alignment horizontal="center" vertical="center"/>
      <protection hidden="1"/>
    </xf>
    <xf numFmtId="164" fontId="9" fillId="0" borderId="5" xfId="2" applyNumberFormat="1" applyFont="1" applyBorder="1" applyAlignment="1" applyProtection="1">
      <alignment horizontal="center" vertical="center"/>
      <protection hidden="1"/>
    </xf>
    <xf numFmtId="0" fontId="23" fillId="0" borderId="12" xfId="2" applyFont="1" applyBorder="1" applyAlignment="1" applyProtection="1">
      <alignment horizontal="center" vertical="center"/>
      <protection hidden="1"/>
    </xf>
    <xf numFmtId="0" fontId="23" fillId="0" borderId="10" xfId="2" applyFont="1" applyBorder="1" applyAlignment="1" applyProtection="1">
      <alignment horizontal="center" vertical="center"/>
      <protection hidden="1"/>
    </xf>
    <xf numFmtId="167" fontId="27" fillId="0" borderId="10" xfId="2" applyNumberFormat="1" applyFont="1" applyBorder="1" applyAlignment="1" applyProtection="1">
      <alignment horizontal="center"/>
      <protection hidden="1"/>
    </xf>
    <xf numFmtId="168" fontId="8" fillId="0" borderId="10" xfId="2" applyNumberFormat="1" applyFont="1" applyBorder="1" applyAlignment="1" applyProtection="1">
      <alignment horizontal="center" vertical="center" wrapText="1"/>
      <protection hidden="1"/>
    </xf>
    <xf numFmtId="166" fontId="8" fillId="0" borderId="10" xfId="2" applyNumberFormat="1" applyFont="1" applyBorder="1" applyAlignment="1" applyProtection="1">
      <alignment horizontal="center" vertical="center" wrapText="1"/>
      <protection hidden="1"/>
    </xf>
    <xf numFmtId="164" fontId="8" fillId="0" borderId="5" xfId="2" applyNumberFormat="1" applyFont="1" applyBorder="1" applyAlignment="1" applyProtection="1">
      <alignment horizontal="center" vertical="center"/>
      <protection hidden="1"/>
    </xf>
    <xf numFmtId="168" fontId="7" fillId="0" borderId="10" xfId="2" applyNumberFormat="1" applyFont="1" applyBorder="1" applyAlignment="1" applyProtection="1">
      <alignment horizontal="center" vertical="center" wrapText="1"/>
      <protection hidden="1"/>
    </xf>
    <xf numFmtId="166" fontId="7" fillId="0" borderId="10" xfId="2" applyNumberFormat="1" applyFont="1" applyBorder="1" applyAlignment="1" applyProtection="1">
      <alignment horizontal="center" vertical="center" wrapText="1"/>
      <protection hidden="1"/>
    </xf>
    <xf numFmtId="164" fontId="7" fillId="0" borderId="5" xfId="2" applyNumberFormat="1" applyFont="1" applyBorder="1" applyAlignment="1" applyProtection="1">
      <alignment horizontal="center" vertical="center"/>
      <protection hidden="1"/>
    </xf>
    <xf numFmtId="0" fontId="29" fillId="0" borderId="0" xfId="0" applyFont="1" applyProtection="1">
      <protection hidden="1"/>
    </xf>
    <xf numFmtId="0" fontId="30" fillId="0" borderId="0" xfId="0" applyFont="1" applyAlignment="1" applyProtection="1">
      <alignment vertical="center"/>
      <protection hidden="1"/>
    </xf>
    <xf numFmtId="0" fontId="31" fillId="0" borderId="0" xfId="0" applyFont="1" applyAlignment="1" applyProtection="1">
      <alignment horizontal="center"/>
      <protection hidden="1"/>
    </xf>
    <xf numFmtId="0" fontId="31" fillId="0" borderId="0" xfId="0" applyFont="1" applyProtection="1">
      <protection hidden="1"/>
    </xf>
    <xf numFmtId="0" fontId="29" fillId="0" borderId="0" xfId="0" applyFont="1" applyAlignment="1" applyProtection="1">
      <alignment vertical="center"/>
      <protection hidden="1"/>
    </xf>
    <xf numFmtId="44" fontId="29" fillId="0" borderId="0" xfId="0" applyNumberFormat="1" applyFont="1" applyAlignment="1" applyProtection="1">
      <alignment vertical="center"/>
      <protection hidden="1"/>
    </xf>
    <xf numFmtId="0" fontId="33" fillId="0" borderId="0" xfId="0" applyFont="1" applyAlignment="1" applyProtection="1">
      <alignment horizontal="center" vertical="center"/>
      <protection hidden="1"/>
    </xf>
    <xf numFmtId="44" fontId="35" fillId="0" borderId="0" xfId="0" applyNumberFormat="1" applyFont="1" applyProtection="1">
      <protection hidden="1"/>
    </xf>
    <xf numFmtId="44" fontId="34" fillId="0" borderId="0" xfId="0" applyNumberFormat="1" applyFont="1" applyProtection="1">
      <protection hidden="1"/>
    </xf>
    <xf numFmtId="10" fontId="34" fillId="0" borderId="0" xfId="0" applyNumberFormat="1" applyFont="1" applyProtection="1">
      <protection hidden="1"/>
    </xf>
    <xf numFmtId="10" fontId="35" fillId="0" borderId="0" xfId="0" applyNumberFormat="1" applyFont="1" applyProtection="1">
      <protection hidden="1"/>
    </xf>
    <xf numFmtId="8" fontId="36" fillId="0" borderId="0" xfId="0" applyNumberFormat="1" applyFont="1" applyProtection="1">
      <protection hidden="1"/>
    </xf>
    <xf numFmtId="44" fontId="37" fillId="0" borderId="0" xfId="0" applyNumberFormat="1" applyFont="1" applyProtection="1">
      <protection hidden="1"/>
    </xf>
    <xf numFmtId="44" fontId="29" fillId="0" borderId="0" xfId="0" applyNumberFormat="1" applyFont="1" applyProtection="1">
      <protection hidden="1"/>
    </xf>
    <xf numFmtId="44" fontId="31" fillId="0" borderId="0" xfId="0" applyNumberFormat="1" applyFont="1" applyAlignment="1" applyProtection="1">
      <alignment horizontal="center"/>
      <protection hidden="1"/>
    </xf>
    <xf numFmtId="9" fontId="38" fillId="0" borderId="0" xfId="0" applyNumberFormat="1" applyFont="1" applyProtection="1">
      <protection hidden="1"/>
    </xf>
    <xf numFmtId="0" fontId="29" fillId="0" borderId="0" xfId="0" applyFont="1" applyAlignment="1" applyProtection="1">
      <alignment horizontal="right"/>
      <protection hidden="1"/>
    </xf>
    <xf numFmtId="44" fontId="39" fillId="0" borderId="0" xfId="0" applyNumberFormat="1" applyFont="1" applyProtection="1">
      <protection hidden="1"/>
    </xf>
    <xf numFmtId="44" fontId="29" fillId="0" borderId="0" xfId="0" applyNumberFormat="1" applyFont="1" applyAlignment="1" applyProtection="1">
      <alignment horizontal="right"/>
      <protection hidden="1"/>
    </xf>
    <xf numFmtId="10" fontId="29" fillId="0" borderId="0" xfId="0" applyNumberFormat="1" applyFont="1" applyProtection="1">
      <protection hidden="1"/>
    </xf>
    <xf numFmtId="168" fontId="6" fillId="0" borderId="10" xfId="2" applyNumberFormat="1" applyFont="1" applyBorder="1" applyAlignment="1" applyProtection="1">
      <alignment horizontal="center" vertical="center" wrapText="1"/>
      <protection hidden="1"/>
    </xf>
    <xf numFmtId="166" fontId="6" fillId="0" borderId="10" xfId="2" applyNumberFormat="1" applyFont="1" applyBorder="1" applyAlignment="1" applyProtection="1">
      <alignment horizontal="center" vertical="center" wrapText="1"/>
      <protection hidden="1"/>
    </xf>
    <xf numFmtId="164" fontId="6" fillId="0" borderId="5" xfId="2" applyNumberFormat="1" applyFont="1" applyBorder="1" applyAlignment="1" applyProtection="1">
      <alignment horizontal="center" vertical="center"/>
      <protection hidden="1"/>
    </xf>
    <xf numFmtId="168" fontId="5" fillId="0" borderId="10" xfId="2" applyNumberFormat="1" applyFont="1" applyBorder="1" applyAlignment="1" applyProtection="1">
      <alignment horizontal="center" vertical="center" wrapText="1"/>
      <protection hidden="1"/>
    </xf>
    <xf numFmtId="166" fontId="5" fillId="0" borderId="10" xfId="2" applyNumberFormat="1" applyFont="1" applyBorder="1" applyAlignment="1" applyProtection="1">
      <alignment horizontal="center" vertical="center" wrapText="1"/>
      <protection hidden="1"/>
    </xf>
    <xf numFmtId="164" fontId="5" fillId="0" borderId="5" xfId="2" applyNumberFormat="1" applyFont="1" applyBorder="1" applyAlignment="1" applyProtection="1">
      <alignment horizontal="center" vertical="center"/>
      <protection hidden="1"/>
    </xf>
    <xf numFmtId="168" fontId="4" fillId="0" borderId="10" xfId="2" applyNumberFormat="1" applyFont="1" applyBorder="1" applyAlignment="1" applyProtection="1">
      <alignment horizontal="center" vertical="center" wrapText="1"/>
      <protection hidden="1"/>
    </xf>
    <xf numFmtId="166" fontId="4" fillId="0" borderId="10" xfId="2" applyNumberFormat="1" applyFont="1" applyBorder="1" applyAlignment="1" applyProtection="1">
      <alignment horizontal="center" vertical="center" wrapText="1"/>
      <protection hidden="1"/>
    </xf>
    <xf numFmtId="164" fontId="4" fillId="0" borderId="5" xfId="2" applyNumberFormat="1" applyFont="1" applyBorder="1" applyAlignment="1" applyProtection="1">
      <alignment horizontal="center" vertical="center"/>
      <protection hidden="1"/>
    </xf>
    <xf numFmtId="168" fontId="3" fillId="0" borderId="10" xfId="2" applyNumberFormat="1" applyFont="1" applyBorder="1" applyAlignment="1" applyProtection="1">
      <alignment horizontal="center" vertical="center" wrapText="1"/>
      <protection hidden="1"/>
    </xf>
    <xf numFmtId="166" fontId="3" fillId="0" borderId="10" xfId="2" applyNumberFormat="1" applyFont="1" applyBorder="1" applyAlignment="1" applyProtection="1">
      <alignment horizontal="center" vertical="center" wrapText="1"/>
      <protection hidden="1"/>
    </xf>
    <xf numFmtId="164" fontId="3" fillId="0" borderId="5" xfId="2" applyNumberFormat="1" applyFont="1" applyBorder="1" applyAlignment="1" applyProtection="1">
      <alignment horizontal="center" vertical="center"/>
      <protection hidden="1"/>
    </xf>
    <xf numFmtId="0" fontId="33" fillId="10" borderId="13" xfId="0" applyFont="1" applyFill="1" applyBorder="1" applyAlignment="1">
      <alignment vertical="center"/>
    </xf>
    <xf numFmtId="14" fontId="33" fillId="11" borderId="0" xfId="0" applyNumberFormat="1" applyFont="1" applyFill="1" applyAlignment="1">
      <alignment horizontal="center"/>
    </xf>
    <xf numFmtId="0" fontId="33" fillId="11" borderId="14" xfId="0" applyFont="1" applyFill="1" applyBorder="1" applyAlignment="1">
      <alignment horizontal="center" vertical="center"/>
    </xf>
    <xf numFmtId="169" fontId="34" fillId="11" borderId="14" xfId="0" applyNumberFormat="1" applyFont="1" applyFill="1" applyBorder="1" applyAlignment="1">
      <alignment horizontal="center" vertical="center"/>
    </xf>
    <xf numFmtId="14" fontId="33" fillId="11" borderId="15" xfId="0" applyNumberFormat="1" applyFont="1" applyFill="1" applyBorder="1" applyAlignment="1">
      <alignment horizontal="center"/>
    </xf>
    <xf numFmtId="0" fontId="33" fillId="12" borderId="13" xfId="0" applyFont="1" applyFill="1" applyBorder="1" applyAlignment="1">
      <alignment vertical="center"/>
    </xf>
    <xf numFmtId="14" fontId="33" fillId="13" borderId="0" xfId="0" applyNumberFormat="1" applyFont="1" applyFill="1"/>
    <xf numFmtId="170" fontId="40" fillId="0" borderId="16" xfId="0" applyNumberFormat="1" applyFont="1" applyBorder="1" applyAlignment="1">
      <alignment horizontal="center"/>
    </xf>
    <xf numFmtId="14" fontId="33" fillId="12" borderId="15" xfId="0" applyNumberFormat="1" applyFont="1" applyFill="1" applyBorder="1" applyAlignment="1">
      <alignment horizontal="center"/>
    </xf>
    <xf numFmtId="0" fontId="33" fillId="12" borderId="13" xfId="0" applyFont="1" applyFill="1" applyBorder="1"/>
    <xf numFmtId="14" fontId="33" fillId="12" borderId="0" xfId="0" applyNumberFormat="1" applyFont="1" applyFill="1"/>
    <xf numFmtId="14" fontId="33" fillId="12" borderId="15" xfId="0" applyNumberFormat="1" applyFont="1" applyFill="1" applyBorder="1" applyAlignment="1">
      <alignment horizontal="center" vertical="center"/>
    </xf>
    <xf numFmtId="0" fontId="31" fillId="9" borderId="17" xfId="0" applyFont="1" applyFill="1" applyBorder="1"/>
    <xf numFmtId="0" fontId="31" fillId="9" borderId="18" xfId="0" applyFont="1" applyFill="1" applyBorder="1" applyAlignment="1">
      <alignment horizontal="center"/>
    </xf>
    <xf numFmtId="0" fontId="31" fillId="9" borderId="19" xfId="0" applyFont="1" applyFill="1" applyBorder="1" applyAlignment="1">
      <alignment horizontal="center"/>
    </xf>
    <xf numFmtId="0" fontId="41" fillId="9" borderId="1" xfId="0" applyFont="1" applyFill="1" applyBorder="1"/>
    <xf numFmtId="0" fontId="41" fillId="9" borderId="3" xfId="0" applyFont="1" applyFill="1" applyBorder="1" applyAlignment="1">
      <alignment horizontal="center"/>
    </xf>
    <xf numFmtId="0" fontId="41" fillId="9" borderId="2" xfId="0" applyFont="1" applyFill="1" applyBorder="1" applyAlignment="1">
      <alignment horizontal="center"/>
    </xf>
    <xf numFmtId="170" fontId="41" fillId="9" borderId="18" xfId="0" applyNumberFormat="1" applyFont="1" applyFill="1" applyBorder="1" applyAlignment="1">
      <alignment horizontal="center"/>
    </xf>
    <xf numFmtId="168" fontId="2" fillId="0" borderId="10" xfId="2" applyNumberFormat="1" applyFont="1" applyBorder="1" applyAlignment="1" applyProtection="1">
      <alignment horizontal="center" vertical="center" wrapText="1"/>
      <protection hidden="1"/>
    </xf>
    <xf numFmtId="166" fontId="2" fillId="0" borderId="10" xfId="2" applyNumberFormat="1" applyFont="1" applyBorder="1" applyAlignment="1" applyProtection="1">
      <alignment horizontal="center" vertical="center" wrapText="1"/>
      <protection hidden="1"/>
    </xf>
    <xf numFmtId="164" fontId="2" fillId="0" borderId="5" xfId="2" applyNumberFormat="1" applyFont="1" applyBorder="1" applyAlignment="1" applyProtection="1">
      <alignment horizontal="center" vertical="center"/>
      <protection hidden="1"/>
    </xf>
    <xf numFmtId="0" fontId="42" fillId="9" borderId="1" xfId="0" applyFont="1" applyFill="1" applyBorder="1" applyAlignment="1">
      <alignment horizontal="center" vertical="center"/>
    </xf>
    <xf numFmtId="0" fontId="42" fillId="9" borderId="3" xfId="0" applyFont="1" applyFill="1" applyBorder="1" applyAlignment="1">
      <alignment horizontal="center" vertical="center"/>
    </xf>
    <xf numFmtId="0" fontId="42" fillId="9" borderId="2" xfId="0" applyFont="1" applyFill="1" applyBorder="1" applyAlignment="1">
      <alignment horizontal="center" vertical="center"/>
    </xf>
    <xf numFmtId="0" fontId="32" fillId="0" borderId="0" xfId="0" applyFont="1" applyAlignment="1" applyProtection="1">
      <alignment horizontal="center" vertical="center"/>
      <protection hidden="1"/>
    </xf>
    <xf numFmtId="0" fontId="18" fillId="5" borderId="1" xfId="0" applyFont="1" applyFill="1" applyBorder="1" applyAlignment="1" applyProtection="1">
      <alignment horizontal="center" vertical="center"/>
      <protection hidden="1"/>
    </xf>
    <xf numFmtId="0" fontId="18" fillId="5" borderId="3" xfId="0" applyFont="1" applyFill="1" applyBorder="1" applyAlignment="1" applyProtection="1">
      <alignment horizontal="center" vertical="center"/>
      <protection hidden="1"/>
    </xf>
    <xf numFmtId="0" fontId="18" fillId="5" borderId="2" xfId="0" applyFont="1" applyFill="1" applyBorder="1" applyAlignment="1" applyProtection="1">
      <alignment horizontal="center" vertical="center"/>
      <protection hidden="1"/>
    </xf>
    <xf numFmtId="0" fontId="18" fillId="6" borderId="1" xfId="0" applyFont="1" applyFill="1" applyBorder="1" applyAlignment="1" applyProtection="1">
      <alignment horizontal="center" vertical="center"/>
      <protection hidden="1"/>
    </xf>
    <xf numFmtId="0" fontId="18" fillId="6" borderId="3" xfId="0" applyFont="1" applyFill="1" applyBorder="1" applyAlignment="1" applyProtection="1">
      <alignment horizontal="center" vertical="center"/>
      <protection hidden="1"/>
    </xf>
    <xf numFmtId="0" fontId="18" fillId="6" borderId="2" xfId="0" applyFont="1" applyFill="1" applyBorder="1" applyAlignment="1" applyProtection="1">
      <alignment horizontal="center" vertical="center"/>
      <protection hidden="1"/>
    </xf>
    <xf numFmtId="0" fontId="12" fillId="4" borderId="1" xfId="0" applyFont="1" applyFill="1" applyBorder="1" applyAlignment="1" applyProtection="1">
      <alignment horizontal="center"/>
      <protection hidden="1"/>
    </xf>
    <xf numFmtId="0" fontId="12" fillId="4" borderId="3" xfId="0" applyFont="1" applyFill="1" applyBorder="1" applyAlignment="1" applyProtection="1">
      <alignment horizontal="center"/>
      <protection hidden="1"/>
    </xf>
    <xf numFmtId="0" fontId="12" fillId="4" borderId="2" xfId="0" applyFont="1" applyFill="1" applyBorder="1" applyAlignment="1" applyProtection="1">
      <alignment horizontal="center"/>
      <protection hidden="1"/>
    </xf>
    <xf numFmtId="0" fontId="1" fillId="0" borderId="7" xfId="0" applyFont="1" applyBorder="1" applyAlignment="1" applyProtection="1">
      <alignment horizontal="left"/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3" fontId="1" fillId="0" borderId="7" xfId="0" applyNumberFormat="1" applyFont="1" applyBorder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horizontal="center" vertical="center"/>
      <protection hidden="1"/>
    </xf>
    <xf numFmtId="164" fontId="1" fillId="0" borderId="7" xfId="0" applyNumberFormat="1" applyFont="1" applyBorder="1" applyAlignment="1" applyProtection="1">
      <alignment horizontal="center" vertical="center"/>
      <protection hidden="1"/>
    </xf>
  </cellXfs>
  <cellStyles count="4">
    <cellStyle name="Normal" xfId="0" builtinId="0"/>
    <cellStyle name="Normal 2" xfId="2" xr:uid="{6B587D7C-F783-4844-A261-716986AE6613}"/>
    <cellStyle name="Normal 2 2" xfId="3" xr:uid="{0F5FDBDD-174D-4280-B6B9-3D0B88FCCAA2}"/>
    <cellStyle name="Porcentaje 2" xfId="1" xr:uid="{00000000-0005-0000-0000-000001000000}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  <protection locked="1" hidden="1"/>
    </dxf>
    <dxf>
      <font>
        <b/>
        <i val="0"/>
        <color rgb="FFFFFFFF"/>
      </font>
      <fill>
        <patternFill>
          <bgColor rgb="FFFF0000"/>
        </patternFill>
      </fill>
      <border>
        <left style="thin">
          <color auto="1"/>
        </left>
        <right style="thin">
          <color rgb="FF000000"/>
        </right>
        <top style="thin">
          <color auto="1"/>
        </top>
        <bottom style="thin">
          <color auto="1"/>
        </bottom>
      </border>
    </dxf>
    <dxf>
      <font>
        <b val="0"/>
        <i/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\ &quot;€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A9D08E"/>
        </top>
        <bottom style="thin">
          <color rgb="FFA9D08E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A9D08E"/>
        </top>
        <bottom style="thin">
          <color rgb="FFA9D08E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#,##0.00\ &quot;€&quot;"/>
      <fill>
        <patternFill patternType="solid">
          <fgColor rgb="FF000000"/>
          <bgColor rgb="FFFFD96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A9D08E"/>
        </top>
        <bottom style="thin">
          <color rgb="FFA9D08E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\ &quot;Unid.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A9D08E"/>
        </top>
        <bottom style="thin">
          <color rgb="FFA9D08E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A9D08E"/>
        </top>
        <bottom style="thin">
          <color rgb="FFA9D08E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#,#00\ &quot;Unid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A9D08E"/>
        </top>
        <bottom style="thin">
          <color rgb="FFA9D08E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0.000\ &quot;Kg&quot;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A9D08E"/>
        </top>
        <bottom style="thin">
          <color rgb="FFA9D08E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A9D08E"/>
        </top>
        <bottom style="thin">
          <color rgb="FFA9D08E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A9D08E"/>
        </top>
        <bottom style="thin">
          <color rgb="FFA9D08E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A9D08E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9D08E"/>
        </left>
        <right/>
        <top style="thin">
          <color rgb="FFA9D08E"/>
        </top>
        <bottom style="thin">
          <color rgb="FFA9D08E"/>
        </bottom>
      </border>
      <protection locked="1" hidden="1"/>
    </dxf>
    <dxf>
      <protection locked="1" hidden="1"/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1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594409580234947E-2"/>
          <c:y val="9.8979098200960181E-2"/>
          <c:w val="0.90372892269141869"/>
          <c:h val="0.8226395230008013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RESUMEN!$E$4</c:f>
              <c:strCache>
                <c:ptCount val="1"/>
                <c:pt idx="0">
                  <c:v>Salidas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RESUMEN!$B$6:$B$17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RESUMEN!$E$6:$E$17</c:f>
              <c:numCache>
                <c:formatCode>_("€"* #,##0.00_);_("€"* \(#,##0.00\);_("€"* "-"??_);_(@_)</c:formatCode>
                <c:ptCount val="12"/>
                <c:pt idx="0">
                  <c:v>5981.7339999999958</c:v>
                </c:pt>
                <c:pt idx="1">
                  <c:v>25437.367600000045</c:v>
                </c:pt>
                <c:pt idx="2">
                  <c:v>15193.614699999995</c:v>
                </c:pt>
                <c:pt idx="3">
                  <c:v>31971.474200000019</c:v>
                </c:pt>
                <c:pt idx="4">
                  <c:v>16380.784600000003</c:v>
                </c:pt>
                <c:pt idx="5">
                  <c:v>16513.469900000015</c:v>
                </c:pt>
                <c:pt idx="6">
                  <c:v>22744.345425000061</c:v>
                </c:pt>
                <c:pt idx="7">
                  <c:v>9097.0555999999942</c:v>
                </c:pt>
                <c:pt idx="8">
                  <c:v>11583.923343607177</c:v>
                </c:pt>
                <c:pt idx="9">
                  <c:v>13033.434314535731</c:v>
                </c:pt>
                <c:pt idx="10">
                  <c:v>10681.531014448508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8-4118-9682-6D6205BFBFC3}"/>
            </c:ext>
          </c:extLst>
        </c:ser>
        <c:ser>
          <c:idx val="2"/>
          <c:order val="2"/>
          <c:tx>
            <c:strRef>
              <c:f>RESUMEN!$F$4</c:f>
              <c:strCache>
                <c:ptCount val="1"/>
                <c:pt idx="0">
                  <c:v>Compras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RESUMEN!$B$6:$B$17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RESUMEN!$F$6:$F$17</c:f>
              <c:numCache>
                <c:formatCode>_("€"* #,##0.00_);_("€"* \(#,##0.00\);_("€"* "-"??_);_(@_)</c:formatCode>
                <c:ptCount val="12"/>
                <c:pt idx="0">
                  <c:v>10736</c:v>
                </c:pt>
                <c:pt idx="1">
                  <c:v>21982.950399999998</c:v>
                </c:pt>
                <c:pt idx="2">
                  <c:v>36731.696799999998</c:v>
                </c:pt>
                <c:pt idx="3">
                  <c:v>22193.887200000001</c:v>
                </c:pt>
                <c:pt idx="4">
                  <c:v>15258.55</c:v>
                </c:pt>
                <c:pt idx="5">
                  <c:v>30814.855200000002</c:v>
                </c:pt>
                <c:pt idx="6">
                  <c:v>29260.959999999999</c:v>
                </c:pt>
                <c:pt idx="7">
                  <c:v>4846.32</c:v>
                </c:pt>
                <c:pt idx="8">
                  <c:v>7991.85</c:v>
                </c:pt>
                <c:pt idx="9">
                  <c:v>20096.3</c:v>
                </c:pt>
                <c:pt idx="10">
                  <c:v>5622.8927999999996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C8-4118-9682-6D6205BFB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564608"/>
        <c:axId val="208566528"/>
      </c:barChart>
      <c:lineChart>
        <c:grouping val="standard"/>
        <c:varyColors val="0"/>
        <c:ser>
          <c:idx val="0"/>
          <c:order val="0"/>
          <c:tx>
            <c:strRef>
              <c:f>RESUMEN!$D$4</c:f>
              <c:strCache>
                <c:ptCount val="1"/>
                <c:pt idx="0">
                  <c:v>Exis. iniciales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square"/>
            <c:size val="8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38100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Pt>
            <c:idx val="5"/>
            <c:marker>
              <c:symbol val="square"/>
              <c:size val="8"/>
              <c:spPr>
                <a:gradFill rotWithShape="1">
                  <a:gsLst>
                    <a:gs pos="0">
                      <a:schemeClr val="accent1">
                        <a:shade val="51000"/>
                        <a:satMod val="130000"/>
                      </a:schemeClr>
                    </a:gs>
                    <a:gs pos="80000">
                      <a:schemeClr val="accent1"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38100">
                  <a:solidFill>
                    <a:schemeClr val="accent1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8100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6C8-4118-9682-6D6205BFBFC3}"/>
              </c:ext>
            </c:extLst>
          </c:dPt>
          <c:cat>
            <c:strRef>
              <c:f>RESUMEN!$B$6:$B$17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RESUMEN!$D$6:$D$17</c:f>
              <c:numCache>
                <c:formatCode>_("€"* #,##0.00_);_("€"* \(#,##0.00\);_("€"* "-"??_);_(@_)</c:formatCode>
                <c:ptCount val="12"/>
                <c:pt idx="0">
                  <c:v>128121.60560095722</c:v>
                </c:pt>
                <c:pt idx="1">
                  <c:v>131665.85160095722</c:v>
                </c:pt>
                <c:pt idx="2">
                  <c:v>128126.47428467135</c:v>
                </c:pt>
                <c:pt idx="3">
                  <c:v>149314.20635559989</c:v>
                </c:pt>
                <c:pt idx="4">
                  <c:v>141447.64764745705</c:v>
                </c:pt>
                <c:pt idx="5">
                  <c:v>139416.79202896403</c:v>
                </c:pt>
                <c:pt idx="6">
                  <c:v>153610.45198209971</c:v>
                </c:pt>
                <c:pt idx="7">
                  <c:v>161133.42021709975</c:v>
                </c:pt>
                <c:pt idx="8">
                  <c:v>156842.0624370997</c:v>
                </c:pt>
                <c:pt idx="9">
                  <c:v>153131.20795349256</c:v>
                </c:pt>
                <c:pt idx="10">
                  <c:v>159055.05301895685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6C8-4118-9682-6D6205BFBFC3}"/>
            </c:ext>
          </c:extLst>
        </c:ser>
        <c:ser>
          <c:idx val="3"/>
          <c:order val="3"/>
          <c:tx>
            <c:strRef>
              <c:f>RESUMEN!$G$4</c:f>
              <c:strCache>
                <c:ptCount val="1"/>
                <c:pt idx="0">
                  <c:v>Exis. Finales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square"/>
            <c:size val="8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38100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RESUMEN!$B$6:$B$17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RESUMEN!$G$6:$G$17</c:f>
              <c:numCache>
                <c:formatCode>_("€"* #,##0.00_);_("€"* \(#,##0.00\);_("€"* "-"??_);_(@_)</c:formatCode>
                <c:ptCount val="12"/>
                <c:pt idx="0">
                  <c:v>131665.85160095722</c:v>
                </c:pt>
                <c:pt idx="1">
                  <c:v>128126.47428467135</c:v>
                </c:pt>
                <c:pt idx="2">
                  <c:v>149314.20635559989</c:v>
                </c:pt>
                <c:pt idx="3">
                  <c:v>141447.64764745705</c:v>
                </c:pt>
                <c:pt idx="4">
                  <c:v>139416.79202896403</c:v>
                </c:pt>
                <c:pt idx="5">
                  <c:v>153610.45198209971</c:v>
                </c:pt>
                <c:pt idx="6">
                  <c:v>161133.42021709975</c:v>
                </c:pt>
                <c:pt idx="7">
                  <c:v>156842.0624370997</c:v>
                </c:pt>
                <c:pt idx="8">
                  <c:v>153131.20795349256</c:v>
                </c:pt>
                <c:pt idx="9">
                  <c:v>159055.05301895685</c:v>
                </c:pt>
                <c:pt idx="10">
                  <c:v>154870.38680450831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6C8-4118-9682-6D6205BFB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952576"/>
        <c:axId val="276951040"/>
      </c:lineChart>
      <c:catAx>
        <c:axId val="20856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566528"/>
        <c:crosses val="autoZero"/>
        <c:auto val="1"/>
        <c:lblAlgn val="ctr"/>
        <c:lblOffset val="100"/>
        <c:noMultiLvlLbl val="0"/>
      </c:catAx>
      <c:valAx>
        <c:axId val="20856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564608"/>
        <c:crosses val="autoZero"/>
        <c:crossBetween val="between"/>
      </c:valAx>
      <c:valAx>
        <c:axId val="276951040"/>
        <c:scaling>
          <c:orientation val="minMax"/>
          <c:min val="0"/>
        </c:scaling>
        <c:delete val="0"/>
        <c:axPos val="r"/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6952576"/>
        <c:crosses val="max"/>
        <c:crossBetween val="between"/>
      </c:valAx>
      <c:catAx>
        <c:axId val="2769525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2769510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191018367500891"/>
          <c:y val="3.2675327348787283E-3"/>
          <c:w val="0.45545991587523316"/>
          <c:h val="6.98103913481403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000000000001465" l="0.70000000000000162" r="0.70000000000000162" t="0.75000000000001465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18</xdr:row>
      <xdr:rowOff>200024</xdr:rowOff>
    </xdr:from>
    <xdr:to>
      <xdr:col>13</xdr:col>
      <xdr:colOff>666749</xdr:colOff>
      <xdr:row>35</xdr:row>
      <xdr:rowOff>200024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1BC3D952-08D9-412B-A9F4-A33BF263F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612482</xdr:colOff>
      <xdr:row>0</xdr:row>
      <xdr:rowOff>47625</xdr:rowOff>
    </xdr:from>
    <xdr:to>
      <xdr:col>12</xdr:col>
      <xdr:colOff>13553</xdr:colOff>
      <xdr:row>5</xdr:row>
      <xdr:rowOff>100820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9CA95F-A66A-A4B7-69B1-D763E59A6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8882" y="47625"/>
          <a:ext cx="2496696" cy="12057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E13DBF-B59A-4DFA-9F01-2C47E892B4BD}" name="BD_ART." displayName="BD_ART." ref="A7:L100" totalsRowCount="1" headerRowDxfId="30" dataDxfId="28" totalsRowDxfId="26" headerRowBorderDxfId="29" tableBorderDxfId="27" headerRowCellStyle="Normal 2" dataCellStyle="Normal 2">
  <autoFilter ref="A7:L99" xr:uid="{C3E13DBF-B59A-4DFA-9F01-2C47E892B4BD}"/>
  <tableColumns count="12">
    <tableColumn id="1" xr3:uid="{0D471409-A5A2-44B7-95D6-4E28F7FCDA8F}" name="Nº" totalsRowLabel="Total" dataDxfId="25" totalsRowDxfId="11" dataCellStyle="Normal 2"/>
    <tableColumn id="2" xr3:uid="{70B530E1-EAC9-4663-9E07-89296EAEA9BA}" name="COD. SAP" dataDxfId="24" totalsRowDxfId="10" dataCellStyle="Normal 2"/>
    <tableColumn id="7" xr3:uid="{C5E202AF-575C-4700-AE74-D4B1F22C0CE2}" name="Categoría" dataDxfId="23" totalsRowDxfId="9" dataCellStyle="Normal 2"/>
    <tableColumn id="8" xr3:uid="{EAD874E4-699E-4D3C-AF47-A5FB6D236446}" name="Tipo Pintura / Serie" dataDxfId="22" totalsRowDxfId="8" dataCellStyle="Normal 2"/>
    <tableColumn id="9" xr3:uid="{511E8749-C2F8-46EF-8F4E-36BACEBF8DD6}" name="Kg X Paq." dataDxfId="21" totalsRowDxfId="7" dataCellStyle="Normal 2"/>
    <tableColumn id="10" xr3:uid="{2AD73955-ACB9-4518-8844-52FCFD49E2F6}" name="Palets / Caja / Paq." dataDxfId="20" totalsRowDxfId="6" dataCellStyle="Normal 2"/>
    <tableColumn id="11" xr3:uid="{05198E11-B158-4DA5-80A4-8DFE0D642E4F}" name="STOCK" totalsRowFunction="sum" dataDxfId="19" totalsRowDxfId="5" dataCellStyle="Normal 2"/>
    <tableColumn id="13" xr3:uid="{D638F385-9905-45C8-92C8-536B5940FC7F}" name="Total Stock" dataDxfId="18" totalsRowDxfId="4" dataCellStyle="Normal 2"/>
    <tableColumn id="16" xr3:uid="{186C1591-FBAF-4E2C-BA96-88581AFD7A8D}" name="Precio" dataDxfId="17" totalsRowDxfId="3" dataCellStyle="Normal 2"/>
    <tableColumn id="17" xr3:uid="{0F75DC9F-D21D-4D04-BB62-40229415B73D}" name="Dto.1" dataDxfId="16" totalsRowDxfId="2" dataCellStyle="Normal 2"/>
    <tableColumn id="18" xr3:uid="{9C9875FD-CF6D-4D24-8FB9-31434E1503E9}" name="Dto.2" dataDxfId="15" totalsRowDxfId="1" dataCellStyle="Normal 2"/>
    <tableColumn id="19" xr3:uid="{446406D0-9757-4E1B-9289-AB41BDF5DE36}" name="Valor" totalsRowFunction="sum" dataDxfId="14" totalsRowDxfId="0" dataCellStyle="Normal 2">
      <calculatedColumnFormula array="1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C670-100F-4D9D-8F13-C7F53B90F61D}">
  <sheetPr>
    <tabColor rgb="FFC00000"/>
    <pageSetUpPr fitToPage="1"/>
  </sheetPr>
  <dimension ref="B1:P22"/>
  <sheetViews>
    <sheetView showGridLines="0" zoomScaleNormal="100" zoomScalePageLayoutView="80" workbookViewId="0">
      <selection activeCell="B2" sqref="B2:H2"/>
    </sheetView>
  </sheetViews>
  <sheetFormatPr baseColWidth="10" defaultColWidth="12" defaultRowHeight="15.75" x14ac:dyDescent="0.25"/>
  <cols>
    <col min="1" max="1" width="2" style="46" customWidth="1"/>
    <col min="2" max="2" width="13.1640625" style="46" bestFit="1" customWidth="1"/>
    <col min="3" max="3" width="14.33203125" style="46" customWidth="1"/>
    <col min="4" max="4" width="14.33203125" style="46" bestFit="1" customWidth="1"/>
    <col min="5" max="6" width="14.5" style="46" bestFit="1" customWidth="1"/>
    <col min="7" max="7" width="14" style="46" bestFit="1" customWidth="1"/>
    <col min="8" max="8" width="11.83203125" style="46" bestFit="1" customWidth="1"/>
    <col min="9" max="13" width="12" style="46" customWidth="1"/>
    <col min="14" max="15" width="12" style="46"/>
    <col min="16" max="16" width="12" style="46" customWidth="1"/>
    <col min="17" max="16384" width="12" style="46"/>
  </cols>
  <sheetData>
    <row r="1" spans="2:16" ht="6.75" customHeight="1" thickBot="1" x14ac:dyDescent="0.3"/>
    <row r="2" spans="2:16" ht="21" thickBot="1" x14ac:dyDescent="0.3">
      <c r="B2" s="100" t="s">
        <v>125</v>
      </c>
      <c r="C2" s="101"/>
      <c r="D2" s="101"/>
      <c r="E2" s="101"/>
      <c r="F2" s="101"/>
      <c r="G2" s="101"/>
      <c r="H2" s="102"/>
      <c r="I2" s="47"/>
      <c r="J2" s="47"/>
      <c r="K2" s="47"/>
      <c r="L2" s="47"/>
      <c r="M2" s="47"/>
      <c r="N2" s="47"/>
    </row>
    <row r="3" spans="2:16" ht="9.75" customHeight="1" thickBot="1" x14ac:dyDescent="0.3"/>
    <row r="4" spans="2:16" s="50" customFormat="1" ht="18.75" thickBot="1" x14ac:dyDescent="0.25">
      <c r="B4" s="93" t="s">
        <v>92</v>
      </c>
      <c r="C4" s="94" t="s">
        <v>93</v>
      </c>
      <c r="D4" s="94" t="s">
        <v>94</v>
      </c>
      <c r="E4" s="94" t="s">
        <v>126</v>
      </c>
      <c r="F4" s="94" t="s">
        <v>95</v>
      </c>
      <c r="G4" s="94" t="s">
        <v>96</v>
      </c>
      <c r="H4" s="95" t="s">
        <v>93</v>
      </c>
      <c r="I4" s="48"/>
      <c r="J4" s="49"/>
      <c r="K4" s="103"/>
      <c r="L4" s="103"/>
      <c r="M4" s="103"/>
      <c r="N4" s="103"/>
      <c r="P4" s="51"/>
    </row>
    <row r="5" spans="2:16" s="50" customFormat="1" x14ac:dyDescent="0.25">
      <c r="B5" s="78" t="s">
        <v>127</v>
      </c>
      <c r="C5" s="79"/>
      <c r="D5" s="80"/>
      <c r="E5" s="80"/>
      <c r="F5" s="80"/>
      <c r="G5" s="81">
        <v>128121.60560095722</v>
      </c>
      <c r="H5" s="82">
        <v>45657</v>
      </c>
      <c r="I5" s="52"/>
      <c r="J5" s="52"/>
      <c r="K5" s="53"/>
    </row>
    <row r="6" spans="2:16" x14ac:dyDescent="0.25">
      <c r="B6" s="83" t="s">
        <v>97</v>
      </c>
      <c r="C6" s="84">
        <v>45658</v>
      </c>
      <c r="D6" s="85">
        <v>128121.60560095722</v>
      </c>
      <c r="E6" s="85">
        <v>5981.7339999999958</v>
      </c>
      <c r="F6" s="85">
        <v>10736</v>
      </c>
      <c r="G6" s="85">
        <v>131665.85160095722</v>
      </c>
      <c r="H6" s="86">
        <v>45688</v>
      </c>
      <c r="I6" s="54"/>
      <c r="J6" s="55"/>
      <c r="K6" s="53"/>
      <c r="L6" s="56"/>
      <c r="M6" s="57"/>
      <c r="N6" s="53"/>
      <c r="O6" s="58"/>
    </row>
    <row r="7" spans="2:16" x14ac:dyDescent="0.25">
      <c r="B7" s="87" t="s">
        <v>98</v>
      </c>
      <c r="C7" s="88">
        <v>45689</v>
      </c>
      <c r="D7" s="85">
        <v>131665.85160095722</v>
      </c>
      <c r="E7" s="85">
        <v>25437.367600000045</v>
      </c>
      <c r="F7" s="85">
        <v>21982.950399999998</v>
      </c>
      <c r="G7" s="85">
        <v>128126.47428467135</v>
      </c>
      <c r="H7" s="89">
        <v>45716</v>
      </c>
      <c r="I7" s="54"/>
      <c r="J7" s="55"/>
      <c r="K7" s="53"/>
      <c r="L7" s="56"/>
      <c r="M7" s="57"/>
      <c r="N7" s="53"/>
      <c r="O7" s="58"/>
    </row>
    <row r="8" spans="2:16" s="50" customFormat="1" x14ac:dyDescent="0.25">
      <c r="B8" s="83" t="s">
        <v>99</v>
      </c>
      <c r="C8" s="84">
        <v>45717</v>
      </c>
      <c r="D8" s="85">
        <v>128126.47428467135</v>
      </c>
      <c r="E8" s="85">
        <v>15193.614699999995</v>
      </c>
      <c r="F8" s="85">
        <v>36731.696799999998</v>
      </c>
      <c r="G8" s="85">
        <v>149314.20635559989</v>
      </c>
      <c r="H8" s="86">
        <v>45747</v>
      </c>
      <c r="I8" s="54"/>
      <c r="J8" s="55"/>
      <c r="K8" s="53"/>
      <c r="L8" s="56"/>
      <c r="M8" s="57"/>
      <c r="N8" s="53"/>
      <c r="O8" s="58"/>
    </row>
    <row r="9" spans="2:16" x14ac:dyDescent="0.25">
      <c r="B9" s="87" t="s">
        <v>100</v>
      </c>
      <c r="C9" s="88">
        <v>45748</v>
      </c>
      <c r="D9" s="85">
        <v>149314.20635559989</v>
      </c>
      <c r="E9" s="85">
        <v>31971.474200000019</v>
      </c>
      <c r="F9" s="85">
        <v>22193.887200000001</v>
      </c>
      <c r="G9" s="85">
        <v>141447.64764745705</v>
      </c>
      <c r="H9" s="89">
        <v>45777</v>
      </c>
      <c r="I9" s="54"/>
      <c r="J9" s="55"/>
      <c r="K9" s="53"/>
      <c r="L9" s="56"/>
      <c r="M9" s="57"/>
      <c r="N9" s="53"/>
      <c r="O9" s="58"/>
    </row>
    <row r="10" spans="2:16" x14ac:dyDescent="0.25">
      <c r="B10" s="87" t="s">
        <v>101</v>
      </c>
      <c r="C10" s="84">
        <v>45778</v>
      </c>
      <c r="D10" s="85">
        <v>141447.64764745705</v>
      </c>
      <c r="E10" s="85">
        <v>16380.784600000003</v>
      </c>
      <c r="F10" s="85">
        <v>15258.55</v>
      </c>
      <c r="G10" s="85">
        <v>139416.79202896403</v>
      </c>
      <c r="H10" s="86">
        <v>45808</v>
      </c>
      <c r="I10" s="54"/>
      <c r="J10" s="55"/>
      <c r="K10" s="53"/>
      <c r="L10" s="56"/>
      <c r="M10" s="57"/>
      <c r="N10" s="53"/>
      <c r="O10" s="58"/>
    </row>
    <row r="11" spans="2:16" x14ac:dyDescent="0.25">
      <c r="B11" s="87" t="s">
        <v>102</v>
      </c>
      <c r="C11" s="88">
        <v>45809</v>
      </c>
      <c r="D11" s="85">
        <v>139416.79202896403</v>
      </c>
      <c r="E11" s="85">
        <v>16513.469900000015</v>
      </c>
      <c r="F11" s="85">
        <v>30814.855200000002</v>
      </c>
      <c r="G11" s="85">
        <v>153610.45198209971</v>
      </c>
      <c r="H11" s="89">
        <v>45838</v>
      </c>
      <c r="I11" s="54"/>
      <c r="J11" s="55"/>
      <c r="K11" s="53"/>
      <c r="L11" s="56"/>
      <c r="M11" s="57"/>
      <c r="N11" s="53"/>
      <c r="O11" s="58"/>
      <c r="P11" s="59"/>
    </row>
    <row r="12" spans="2:16" s="50" customFormat="1" x14ac:dyDescent="0.25">
      <c r="B12" s="83" t="s">
        <v>103</v>
      </c>
      <c r="C12" s="84">
        <v>45839</v>
      </c>
      <c r="D12" s="85">
        <v>153610.45198209971</v>
      </c>
      <c r="E12" s="85">
        <v>22744.345425000061</v>
      </c>
      <c r="F12" s="85">
        <v>29260.959999999999</v>
      </c>
      <c r="G12" s="85">
        <v>161133.42021709975</v>
      </c>
      <c r="H12" s="86">
        <v>45869</v>
      </c>
      <c r="I12" s="54"/>
      <c r="J12" s="55"/>
      <c r="K12" s="53"/>
      <c r="L12" s="56"/>
      <c r="M12" s="57"/>
      <c r="N12" s="53"/>
      <c r="O12" s="58"/>
    </row>
    <row r="13" spans="2:16" x14ac:dyDescent="0.25">
      <c r="B13" s="87" t="s">
        <v>104</v>
      </c>
      <c r="C13" s="88">
        <v>45870</v>
      </c>
      <c r="D13" s="85">
        <v>161133.42021709975</v>
      </c>
      <c r="E13" s="85">
        <v>9097.0555999999942</v>
      </c>
      <c r="F13" s="85">
        <v>4846.32</v>
      </c>
      <c r="G13" s="85">
        <v>156842.0624370997</v>
      </c>
      <c r="H13" s="89">
        <v>45900</v>
      </c>
      <c r="I13" s="54"/>
      <c r="J13" s="55"/>
      <c r="K13" s="53"/>
      <c r="L13" s="56"/>
      <c r="M13" s="57"/>
      <c r="N13" s="53"/>
      <c r="O13" s="58"/>
    </row>
    <row r="14" spans="2:16" x14ac:dyDescent="0.25">
      <c r="B14" s="87" t="s">
        <v>105</v>
      </c>
      <c r="C14" s="84">
        <v>45901</v>
      </c>
      <c r="D14" s="85">
        <v>156842.0624370997</v>
      </c>
      <c r="E14" s="85">
        <v>11583.923343607177</v>
      </c>
      <c r="F14" s="85">
        <v>7991.85</v>
      </c>
      <c r="G14" s="85">
        <v>153131.20795349256</v>
      </c>
      <c r="H14" s="86">
        <v>45930</v>
      </c>
      <c r="I14" s="54"/>
      <c r="J14" s="55"/>
      <c r="K14" s="53"/>
      <c r="L14" s="56"/>
      <c r="M14" s="57"/>
      <c r="N14" s="53"/>
      <c r="O14" s="58"/>
    </row>
    <row r="15" spans="2:16" x14ac:dyDescent="0.25">
      <c r="B15" s="87" t="s">
        <v>106</v>
      </c>
      <c r="C15" s="88">
        <v>45931</v>
      </c>
      <c r="D15" s="85">
        <v>153131.20795349256</v>
      </c>
      <c r="E15" s="85">
        <v>13033.434314535731</v>
      </c>
      <c r="F15" s="85">
        <v>20096.3</v>
      </c>
      <c r="G15" s="85">
        <v>159055.05301895685</v>
      </c>
      <c r="H15" s="89">
        <v>45961</v>
      </c>
      <c r="I15" s="54"/>
      <c r="J15" s="55"/>
      <c r="K15" s="53"/>
      <c r="L15" s="56"/>
      <c r="M15" s="57"/>
      <c r="N15" s="53"/>
      <c r="O15" s="58"/>
    </row>
    <row r="16" spans="2:16" x14ac:dyDescent="0.25">
      <c r="B16" s="87" t="s">
        <v>107</v>
      </c>
      <c r="C16" s="84">
        <v>45962</v>
      </c>
      <c r="D16" s="85">
        <v>159055.05301895685</v>
      </c>
      <c r="E16" s="85">
        <v>10681.531014448508</v>
      </c>
      <c r="F16" s="85">
        <v>5622.8927999999996</v>
      </c>
      <c r="G16" s="85">
        <v>154870.38680450831</v>
      </c>
      <c r="H16" s="86">
        <v>45991</v>
      </c>
      <c r="I16" s="54"/>
      <c r="J16" s="55"/>
      <c r="K16" s="53"/>
      <c r="L16" s="56"/>
      <c r="M16" s="57"/>
      <c r="N16" s="53"/>
      <c r="O16" s="58"/>
    </row>
    <row r="17" spans="2:15" x14ac:dyDescent="0.25">
      <c r="B17" s="87" t="s">
        <v>108</v>
      </c>
      <c r="C17" s="88">
        <v>45992</v>
      </c>
      <c r="D17" s="85"/>
      <c r="E17" s="85"/>
      <c r="F17" s="85"/>
      <c r="G17" s="85"/>
      <c r="H17" s="89">
        <v>46022</v>
      </c>
      <c r="I17" s="54"/>
      <c r="J17" s="55"/>
      <c r="K17" s="53"/>
      <c r="L17" s="56"/>
      <c r="M17" s="57"/>
      <c r="N17" s="53"/>
      <c r="O17" s="58"/>
    </row>
    <row r="18" spans="2:15" ht="16.5" thickBot="1" x14ac:dyDescent="0.3">
      <c r="B18" s="90"/>
      <c r="C18" s="91"/>
      <c r="D18" s="91"/>
      <c r="E18" s="96">
        <f>SUM(E6:E17)</f>
        <v>178618.73469759151</v>
      </c>
      <c r="F18" s="96">
        <f>SUM(F6:F17)</f>
        <v>205536.26239999998</v>
      </c>
      <c r="G18" s="91"/>
      <c r="H18" s="92"/>
      <c r="I18" s="60"/>
      <c r="J18" s="49"/>
      <c r="K18" s="61"/>
      <c r="L18" s="61"/>
      <c r="M18" s="53"/>
    </row>
    <row r="20" spans="2:15" x14ac:dyDescent="0.25">
      <c r="G20" s="62"/>
      <c r="H20" s="62"/>
      <c r="I20" s="63"/>
      <c r="J20" s="63"/>
    </row>
    <row r="21" spans="2:15" x14ac:dyDescent="0.25">
      <c r="G21" s="64"/>
      <c r="H21" s="64"/>
      <c r="I21" s="59"/>
      <c r="J21" s="59"/>
    </row>
    <row r="22" spans="2:15" x14ac:dyDescent="0.25">
      <c r="G22" s="59"/>
      <c r="H22" s="59"/>
      <c r="N22" s="65"/>
    </row>
  </sheetData>
  <sheetProtection algorithmName="SHA-512" hashValue="GLWf1QoRGdQPDgll9Paj4n4ZdQi/BiNaDghQYXCu1JQyzjnlwthFRrU5irz6mzGy1Tfjp+k6GluSZk75zgkaOQ==" saltValue="Zlo2d06vlpzCPxlCRJ4sdA==" spinCount="100000" sheet="1" autoFilter="0" pivotTables="0"/>
  <mergeCells count="2">
    <mergeCell ref="B2:H2"/>
    <mergeCell ref="K4:N4"/>
  </mergeCells>
  <conditionalFormatting sqref="I6:J17">
    <cfRule type="expression" dxfId="13" priority="2">
      <formula>$I6&lt;0</formula>
    </cfRule>
  </conditionalFormatting>
  <conditionalFormatting sqref="J6:J17">
    <cfRule type="iconSet" priority="1">
      <iconSet iconSet="5ArrowsGray">
        <cfvo type="percent" val="0"/>
        <cfvo type="num" val="-0.05"/>
        <cfvo type="num" val="-0.01"/>
        <cfvo type="num" val="0.01"/>
        <cfvo type="num" val="0.05"/>
      </iconSet>
    </cfRule>
  </conditionalFormatting>
  <pageMargins left="0" right="0" top="0" bottom="0" header="0.31496062992125984" footer="0.31496062992125984"/>
  <pageSetup paperSize="9"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2043-ED28-40EE-9CC4-A7F630A1135C}">
  <sheetPr codeName="Hoja3"/>
  <dimension ref="A1:L100"/>
  <sheetViews>
    <sheetView showGridLines="0" tabSelected="1" workbookViewId="0">
      <selection activeCell="A4" sqref="A4:C4"/>
    </sheetView>
  </sheetViews>
  <sheetFormatPr baseColWidth="10" defaultRowHeight="12.75" x14ac:dyDescent="0.2"/>
  <cols>
    <col min="1" max="1" width="12" style="1"/>
    <col min="2" max="2" width="16.1640625" style="1" customWidth="1"/>
    <col min="3" max="3" width="18.33203125" style="1" bestFit="1" customWidth="1"/>
    <col min="4" max="4" width="52.1640625" style="1" bestFit="1" customWidth="1"/>
    <col min="5" max="5" width="23.5" style="1" bestFit="1" customWidth="1"/>
    <col min="6" max="6" width="25.83203125" style="1" bestFit="1" customWidth="1"/>
    <col min="7" max="7" width="13.1640625" style="1" bestFit="1" customWidth="1"/>
    <col min="8" max="8" width="17.6640625" style="1" bestFit="1" customWidth="1"/>
    <col min="9" max="9" width="13" style="1" bestFit="1" customWidth="1"/>
    <col min="10" max="11" width="12" style="1"/>
    <col min="12" max="12" width="17.1640625" style="1" bestFit="1" customWidth="1"/>
    <col min="13" max="13" width="15.1640625" style="1" customWidth="1"/>
    <col min="14" max="14" width="12.5" style="1" customWidth="1"/>
    <col min="15" max="15" width="14.33203125" style="1" customWidth="1"/>
    <col min="16" max="20" width="12" style="1"/>
    <col min="21" max="21" width="14.1640625" style="1" customWidth="1"/>
    <col min="22" max="16384" width="12" style="1"/>
  </cols>
  <sheetData>
    <row r="1" spans="1:12" ht="13.5" thickBot="1" x14ac:dyDescent="0.25"/>
    <row r="2" spans="1:12" ht="21" thickBot="1" x14ac:dyDescent="0.35">
      <c r="A2" s="110" t="s">
        <v>55</v>
      </c>
      <c r="B2" s="111"/>
      <c r="C2" s="111"/>
      <c r="D2" s="111"/>
      <c r="E2" s="111"/>
      <c r="F2" s="111"/>
      <c r="G2" s="112"/>
      <c r="I2" s="2"/>
      <c r="J2" s="2"/>
      <c r="K2" s="3"/>
      <c r="L2" s="3"/>
    </row>
    <row r="3" spans="1:12" ht="18.75" thickBot="1" x14ac:dyDescent="0.3">
      <c r="I3" s="2"/>
      <c r="J3" s="2"/>
      <c r="K3" s="4"/>
      <c r="L3" s="4"/>
    </row>
    <row r="4" spans="1:12" ht="18.75" thickBot="1" x14ac:dyDescent="0.3">
      <c r="A4" s="104" t="s">
        <v>134</v>
      </c>
      <c r="B4" s="105"/>
      <c r="C4" s="106"/>
      <c r="D4" s="5">
        <f>BD_ART.[[#Totals],[Valor]]</f>
        <v>154870.38680450831</v>
      </c>
      <c r="E4" s="3"/>
    </row>
    <row r="5" spans="1:12" ht="18.75" thickBot="1" x14ac:dyDescent="0.3">
      <c r="A5" s="107" t="s">
        <v>135</v>
      </c>
      <c r="B5" s="108"/>
      <c r="C5" s="109"/>
      <c r="D5" s="6">
        <f>BD_ART.[[#Totals],[STOCK]]</f>
        <v>360739.98000000004</v>
      </c>
      <c r="E5" s="4"/>
    </row>
    <row r="7" spans="1:12" ht="15.75" x14ac:dyDescent="0.25">
      <c r="A7" s="7" t="s">
        <v>2</v>
      </c>
      <c r="B7" s="7" t="s">
        <v>56</v>
      </c>
      <c r="C7" s="19" t="s">
        <v>8</v>
      </c>
      <c r="D7" s="8" t="s">
        <v>3</v>
      </c>
      <c r="E7" s="24" t="s">
        <v>54</v>
      </c>
      <c r="F7" s="9" t="s">
        <v>51</v>
      </c>
      <c r="G7" s="10" t="s">
        <v>7</v>
      </c>
      <c r="H7" s="9" t="s">
        <v>53</v>
      </c>
      <c r="I7" s="9" t="s">
        <v>0</v>
      </c>
      <c r="J7" s="9" t="s">
        <v>4</v>
      </c>
      <c r="K7" s="9" t="s">
        <v>5</v>
      </c>
      <c r="L7" s="9" t="s">
        <v>1</v>
      </c>
    </row>
    <row r="8" spans="1:12" ht="15.75" x14ac:dyDescent="0.25">
      <c r="A8" s="28">
        <v>1</v>
      </c>
      <c r="B8" s="37">
        <v>60008000000</v>
      </c>
      <c r="C8" s="29" t="s">
        <v>57</v>
      </c>
      <c r="D8" s="30" t="s">
        <v>116</v>
      </c>
      <c r="E8" s="25" t="s">
        <v>6</v>
      </c>
      <c r="F8" s="31">
        <v>1200</v>
      </c>
      <c r="G8" s="32">
        <v>2004</v>
      </c>
      <c r="H8" s="33">
        <v>2880</v>
      </c>
      <c r="I8" s="34">
        <v>1</v>
      </c>
      <c r="J8" s="35"/>
      <c r="K8" s="35"/>
      <c r="L8" s="36" cm="1">
        <f t="array" ref="L8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2004</v>
      </c>
    </row>
    <row r="9" spans="1:12" ht="15.75" x14ac:dyDescent="0.25">
      <c r="A9" s="28">
        <v>2</v>
      </c>
      <c r="B9" s="37">
        <v>60007000000</v>
      </c>
      <c r="C9" s="29" t="s">
        <v>57</v>
      </c>
      <c r="D9" s="30" t="s">
        <v>73</v>
      </c>
      <c r="E9" s="25" t="s">
        <v>6</v>
      </c>
      <c r="F9" s="31">
        <v>1800</v>
      </c>
      <c r="G9" s="32">
        <v>45400</v>
      </c>
      <c r="H9" s="33">
        <v>47570</v>
      </c>
      <c r="I9" s="34">
        <v>0.48299999999999998</v>
      </c>
      <c r="J9" s="35"/>
      <c r="K9" s="35"/>
      <c r="L9" s="36" cm="1">
        <f t="array" ref="L9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21928.2</v>
      </c>
    </row>
    <row r="10" spans="1:12" ht="15.75" x14ac:dyDescent="0.25">
      <c r="A10" s="28">
        <v>3</v>
      </c>
      <c r="B10" s="37">
        <v>60005000000</v>
      </c>
      <c r="C10" s="29" t="s">
        <v>57</v>
      </c>
      <c r="D10" s="30" t="s">
        <v>117</v>
      </c>
      <c r="E10" s="25" t="s">
        <v>6</v>
      </c>
      <c r="F10" s="31">
        <v>3150</v>
      </c>
      <c r="G10" s="32">
        <v>6811</v>
      </c>
      <c r="H10" s="33">
        <v>9061</v>
      </c>
      <c r="I10" s="34">
        <v>0.28000000000000003</v>
      </c>
      <c r="J10" s="35"/>
      <c r="K10" s="35"/>
      <c r="L10" s="36" cm="1">
        <f t="array" ref="L10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1907.0800000000002</v>
      </c>
    </row>
    <row r="11" spans="1:12" ht="15.75" x14ac:dyDescent="0.25">
      <c r="A11" s="28">
        <v>4</v>
      </c>
      <c r="B11" s="37">
        <v>60006000000</v>
      </c>
      <c r="C11" s="29" t="s">
        <v>57</v>
      </c>
      <c r="D11" s="30" t="s">
        <v>118</v>
      </c>
      <c r="E11" s="25" t="s">
        <v>6</v>
      </c>
      <c r="F11" s="31">
        <v>3600</v>
      </c>
      <c r="G11" s="32">
        <v>0</v>
      </c>
      <c r="H11" s="33">
        <v>0</v>
      </c>
      <c r="I11" s="34">
        <v>0.27700000000000002</v>
      </c>
      <c r="J11" s="35"/>
      <c r="K11" s="35"/>
      <c r="L11" s="36" cm="1">
        <f t="array" ref="L11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12" spans="1:12" ht="15.75" x14ac:dyDescent="0.25">
      <c r="A12" s="28">
        <v>5</v>
      </c>
      <c r="B12" s="37">
        <v>60004000000</v>
      </c>
      <c r="C12" s="29" t="s">
        <v>57</v>
      </c>
      <c r="D12" s="30" t="s">
        <v>74</v>
      </c>
      <c r="E12" s="25" t="s">
        <v>6</v>
      </c>
      <c r="F12" s="31">
        <v>9800</v>
      </c>
      <c r="G12" s="32">
        <v>21230</v>
      </c>
      <c r="H12" s="33">
        <v>21230</v>
      </c>
      <c r="I12" s="34">
        <v>0.12</v>
      </c>
      <c r="J12" s="35"/>
      <c r="K12" s="35"/>
      <c r="L12" s="36" cm="1">
        <f t="array" ref="L12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2547.6</v>
      </c>
    </row>
    <row r="13" spans="1:12" ht="15.75" x14ac:dyDescent="0.25">
      <c r="A13" s="28">
        <v>6</v>
      </c>
      <c r="B13" s="37">
        <v>60003000000</v>
      </c>
      <c r="C13" s="29" t="s">
        <v>57</v>
      </c>
      <c r="D13" s="30" t="s">
        <v>119</v>
      </c>
      <c r="E13" s="25" t="s">
        <v>6</v>
      </c>
      <c r="F13" s="31">
        <v>12500</v>
      </c>
      <c r="G13" s="32">
        <v>3515</v>
      </c>
      <c r="H13" s="33">
        <v>6515</v>
      </c>
      <c r="I13" s="34">
        <v>8.4000000000000005E-2</v>
      </c>
      <c r="J13" s="35"/>
      <c r="K13" s="35"/>
      <c r="L13" s="36" cm="1">
        <f t="array" ref="L13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295.26</v>
      </c>
    </row>
    <row r="14" spans="1:12" ht="15.75" x14ac:dyDescent="0.25">
      <c r="A14" s="28">
        <v>7</v>
      </c>
      <c r="B14" s="37">
        <v>60002000000</v>
      </c>
      <c r="C14" s="29" t="s">
        <v>57</v>
      </c>
      <c r="D14" s="30" t="s">
        <v>75</v>
      </c>
      <c r="E14" s="25" t="s">
        <v>6</v>
      </c>
      <c r="F14" s="31">
        <v>12000</v>
      </c>
      <c r="G14" s="32">
        <v>202400</v>
      </c>
      <c r="H14" s="33">
        <v>202400</v>
      </c>
      <c r="I14" s="34">
        <v>0.12</v>
      </c>
      <c r="J14" s="35"/>
      <c r="K14" s="35"/>
      <c r="L14" s="36" cm="1">
        <f t="array" ref="L14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24288</v>
      </c>
    </row>
    <row r="15" spans="1:12" ht="15.75" x14ac:dyDescent="0.25">
      <c r="A15" s="28">
        <v>8</v>
      </c>
      <c r="B15" s="37">
        <v>60001000000</v>
      </c>
      <c r="C15" s="29" t="s">
        <v>57</v>
      </c>
      <c r="D15" s="30" t="s">
        <v>76</v>
      </c>
      <c r="E15" s="25" t="s">
        <v>6</v>
      </c>
      <c r="F15" s="26" t="s">
        <v>6</v>
      </c>
      <c r="G15" s="32">
        <v>4101</v>
      </c>
      <c r="H15" s="33">
        <v>4101</v>
      </c>
      <c r="I15" s="34">
        <v>7.6999999999999999E-2</v>
      </c>
      <c r="J15" s="35"/>
      <c r="K15" s="35"/>
      <c r="L15" s="36" cm="1">
        <f t="array" ref="L15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315.77699999999999</v>
      </c>
    </row>
    <row r="16" spans="1:12" ht="15.75" x14ac:dyDescent="0.25">
      <c r="A16" s="28">
        <v>9</v>
      </c>
      <c r="B16" s="37">
        <v>60000000000</v>
      </c>
      <c r="C16" s="29" t="s">
        <v>57</v>
      </c>
      <c r="D16" s="30" t="s">
        <v>77</v>
      </c>
      <c r="E16" s="25" t="s">
        <v>6</v>
      </c>
      <c r="F16" s="31">
        <v>21000</v>
      </c>
      <c r="G16" s="32">
        <v>22101</v>
      </c>
      <c r="H16" s="33">
        <v>22598</v>
      </c>
      <c r="I16" s="34">
        <v>4.3000029071457641E-2</v>
      </c>
      <c r="J16" s="35"/>
      <c r="K16" s="35"/>
      <c r="L16" s="36" cm="1">
        <f t="array" ref="L16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950.34364250828526</v>
      </c>
    </row>
    <row r="17" spans="1:12" ht="15.75" x14ac:dyDescent="0.25">
      <c r="A17" s="28">
        <v>10</v>
      </c>
      <c r="B17" s="37">
        <v>60009000000</v>
      </c>
      <c r="C17" s="29" t="s">
        <v>57</v>
      </c>
      <c r="D17" s="30" t="s">
        <v>120</v>
      </c>
      <c r="E17" s="25" t="s">
        <v>6</v>
      </c>
      <c r="F17" s="31">
        <v>5000</v>
      </c>
      <c r="G17" s="32">
        <v>9638</v>
      </c>
      <c r="H17" s="33">
        <v>2488</v>
      </c>
      <c r="I17" s="34">
        <v>0.4</v>
      </c>
      <c r="J17" s="35"/>
      <c r="K17" s="35"/>
      <c r="L17" s="36" cm="1">
        <f t="array" ref="L17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3855.2000000000003</v>
      </c>
    </row>
    <row r="18" spans="1:12" ht="15.75" x14ac:dyDescent="0.25">
      <c r="A18" s="28">
        <v>11</v>
      </c>
      <c r="B18" s="37">
        <v>60290000000</v>
      </c>
      <c r="C18" s="29" t="s">
        <v>57</v>
      </c>
      <c r="D18" s="30" t="s">
        <v>66</v>
      </c>
      <c r="E18" s="25" t="s">
        <v>6</v>
      </c>
      <c r="F18" s="26" t="s">
        <v>6</v>
      </c>
      <c r="G18" s="32">
        <v>0</v>
      </c>
      <c r="H18" s="33">
        <v>0</v>
      </c>
      <c r="I18" s="34">
        <v>0.433425</v>
      </c>
      <c r="J18" s="35"/>
      <c r="K18" s="35"/>
      <c r="L18" s="36" cm="1">
        <f t="array" ref="L18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19" spans="1:12" ht="15.75" x14ac:dyDescent="0.25">
      <c r="A19" s="28">
        <v>12</v>
      </c>
      <c r="B19" s="37">
        <v>60088000000</v>
      </c>
      <c r="C19" s="29" t="s">
        <v>57</v>
      </c>
      <c r="D19" s="30" t="s">
        <v>68</v>
      </c>
      <c r="E19" s="25" t="s">
        <v>6</v>
      </c>
      <c r="F19" s="26" t="s">
        <v>6</v>
      </c>
      <c r="G19" s="32">
        <v>0</v>
      </c>
      <c r="H19" s="33">
        <v>0</v>
      </c>
      <c r="I19" s="34">
        <v>0.1</v>
      </c>
      <c r="J19" s="35"/>
      <c r="K19" s="35"/>
      <c r="L19" s="36" cm="1">
        <f t="array" ref="L19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20" spans="1:12" ht="15.75" x14ac:dyDescent="0.25">
      <c r="A20" s="28">
        <v>13</v>
      </c>
      <c r="B20" s="37">
        <v>60289000000</v>
      </c>
      <c r="C20" s="29" t="s">
        <v>57</v>
      </c>
      <c r="D20" s="30" t="s">
        <v>69</v>
      </c>
      <c r="E20" s="25" t="s">
        <v>6</v>
      </c>
      <c r="F20" s="26" t="s">
        <v>6</v>
      </c>
      <c r="G20" s="32">
        <v>0</v>
      </c>
      <c r="H20" s="33">
        <v>0</v>
      </c>
      <c r="I20" s="34">
        <v>0.49869999999999998</v>
      </c>
      <c r="J20" s="35"/>
      <c r="K20" s="35"/>
      <c r="L20" s="36" cm="1">
        <f t="array" ref="L20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21" spans="1:12" ht="15.75" x14ac:dyDescent="0.25">
      <c r="A21" s="28">
        <v>14</v>
      </c>
      <c r="B21" s="37">
        <v>60486000000</v>
      </c>
      <c r="C21" s="29" t="s">
        <v>57</v>
      </c>
      <c r="D21" s="30" t="s">
        <v>71</v>
      </c>
      <c r="E21" s="25" t="s">
        <v>6</v>
      </c>
      <c r="F21" s="26" t="s">
        <v>6</v>
      </c>
      <c r="G21" s="32">
        <v>97</v>
      </c>
      <c r="H21" s="33">
        <v>97</v>
      </c>
      <c r="I21" s="34">
        <v>3.15E-2</v>
      </c>
      <c r="J21" s="35"/>
      <c r="K21" s="35"/>
      <c r="L21" s="36" cm="1">
        <f t="array" ref="L21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3.0554999999999999</v>
      </c>
    </row>
    <row r="22" spans="1:12" ht="15.75" x14ac:dyDescent="0.25">
      <c r="A22" s="28">
        <v>15</v>
      </c>
      <c r="B22" s="37">
        <v>60487000000</v>
      </c>
      <c r="C22" s="29" t="s">
        <v>57</v>
      </c>
      <c r="D22" s="30" t="s">
        <v>72</v>
      </c>
      <c r="E22" s="25" t="s">
        <v>6</v>
      </c>
      <c r="F22" s="26" t="s">
        <v>6</v>
      </c>
      <c r="G22" s="32">
        <v>1</v>
      </c>
      <c r="H22" s="33">
        <v>1</v>
      </c>
      <c r="I22" s="34">
        <v>0.05</v>
      </c>
      <c r="J22" s="35"/>
      <c r="K22" s="35"/>
      <c r="L22" s="36" cm="1">
        <f t="array" ref="L22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0.05</v>
      </c>
    </row>
    <row r="23" spans="1:12" ht="15.75" x14ac:dyDescent="0.25">
      <c r="A23" s="28">
        <v>16</v>
      </c>
      <c r="B23" s="37">
        <v>60741018104</v>
      </c>
      <c r="C23" s="29" t="s">
        <v>58</v>
      </c>
      <c r="D23" s="30" t="s">
        <v>59</v>
      </c>
      <c r="E23" s="25" t="s">
        <v>6</v>
      </c>
      <c r="F23" s="26" t="s">
        <v>6</v>
      </c>
      <c r="G23" s="32">
        <v>851</v>
      </c>
      <c r="H23" s="33">
        <v>851</v>
      </c>
      <c r="I23" s="34">
        <v>6</v>
      </c>
      <c r="J23" s="35"/>
      <c r="K23" s="35"/>
      <c r="L23" s="36" cm="1">
        <f t="array" ref="L23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5106</v>
      </c>
    </row>
    <row r="24" spans="1:12" ht="15.75" x14ac:dyDescent="0.25">
      <c r="A24" s="28">
        <v>17</v>
      </c>
      <c r="B24" s="37">
        <v>60741004104</v>
      </c>
      <c r="C24" s="29" t="s">
        <v>58</v>
      </c>
      <c r="D24" s="30" t="s">
        <v>60</v>
      </c>
      <c r="E24" s="25" t="s">
        <v>6</v>
      </c>
      <c r="F24" s="26" t="s">
        <v>6</v>
      </c>
      <c r="G24" s="32">
        <v>549</v>
      </c>
      <c r="H24" s="33">
        <v>549</v>
      </c>
      <c r="I24" s="34">
        <v>6</v>
      </c>
      <c r="J24" s="35"/>
      <c r="K24" s="35"/>
      <c r="L24" s="36" cm="1">
        <f t="array" ref="L24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3294</v>
      </c>
    </row>
    <row r="25" spans="1:12" ht="15.75" x14ac:dyDescent="0.25">
      <c r="A25" s="28">
        <v>18</v>
      </c>
      <c r="B25" s="37">
        <v>60741018103</v>
      </c>
      <c r="C25" s="29" t="s">
        <v>58</v>
      </c>
      <c r="D25" s="30" t="s">
        <v>61</v>
      </c>
      <c r="E25" s="25" t="s">
        <v>6</v>
      </c>
      <c r="F25" s="26" t="s">
        <v>6</v>
      </c>
      <c r="G25" s="32">
        <v>519</v>
      </c>
      <c r="H25" s="33">
        <v>519</v>
      </c>
      <c r="I25" s="34">
        <v>6</v>
      </c>
      <c r="J25" s="35"/>
      <c r="K25" s="35"/>
      <c r="L25" s="36" cm="1">
        <f t="array" ref="L25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3114</v>
      </c>
    </row>
    <row r="26" spans="1:12" ht="15.75" x14ac:dyDescent="0.25">
      <c r="A26" s="28">
        <v>19</v>
      </c>
      <c r="B26" s="37">
        <v>60741018105</v>
      </c>
      <c r="C26" s="29" t="s">
        <v>58</v>
      </c>
      <c r="D26" s="30" t="s">
        <v>62</v>
      </c>
      <c r="E26" s="25" t="s">
        <v>6</v>
      </c>
      <c r="F26" s="26" t="s">
        <v>6</v>
      </c>
      <c r="G26" s="32">
        <v>519</v>
      </c>
      <c r="H26" s="33">
        <v>519</v>
      </c>
      <c r="I26" s="34">
        <v>6</v>
      </c>
      <c r="J26" s="35"/>
      <c r="K26" s="35"/>
      <c r="L26" s="36" cm="1">
        <f t="array" ref="L26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3114</v>
      </c>
    </row>
    <row r="27" spans="1:12" ht="15.75" x14ac:dyDescent="0.25">
      <c r="A27" s="28">
        <v>20</v>
      </c>
      <c r="B27" s="37">
        <v>60741004105</v>
      </c>
      <c r="C27" s="29" t="s">
        <v>58</v>
      </c>
      <c r="D27" s="30" t="s">
        <v>63</v>
      </c>
      <c r="E27" s="25" t="s">
        <v>6</v>
      </c>
      <c r="F27" s="26" t="s">
        <v>6</v>
      </c>
      <c r="G27" s="32">
        <v>282</v>
      </c>
      <c r="H27" s="33">
        <v>282</v>
      </c>
      <c r="I27" s="34">
        <v>6</v>
      </c>
      <c r="J27" s="35"/>
      <c r="K27" s="35"/>
      <c r="L27" s="36" cm="1">
        <f t="array" ref="L27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1692</v>
      </c>
    </row>
    <row r="28" spans="1:12" ht="15.75" x14ac:dyDescent="0.25">
      <c r="A28" s="28">
        <v>21</v>
      </c>
      <c r="B28" s="37">
        <v>60741004103</v>
      </c>
      <c r="C28" s="29" t="s">
        <v>58</v>
      </c>
      <c r="D28" s="30" t="s">
        <v>64</v>
      </c>
      <c r="E28" s="25" t="s">
        <v>6</v>
      </c>
      <c r="F28" s="26" t="s">
        <v>6</v>
      </c>
      <c r="G28" s="32">
        <v>96</v>
      </c>
      <c r="H28" s="33">
        <v>96</v>
      </c>
      <c r="I28" s="34">
        <v>6</v>
      </c>
      <c r="J28" s="35"/>
      <c r="K28" s="35"/>
      <c r="L28" s="36" cm="1">
        <f t="array" ref="L28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576</v>
      </c>
    </row>
    <row r="29" spans="1:12" ht="15.75" x14ac:dyDescent="0.25">
      <c r="A29" s="28">
        <v>22</v>
      </c>
      <c r="B29" s="37">
        <v>60047000000</v>
      </c>
      <c r="C29" s="29" t="s">
        <v>58</v>
      </c>
      <c r="D29" s="30" t="s">
        <v>65</v>
      </c>
      <c r="E29" s="25" t="s">
        <v>6</v>
      </c>
      <c r="F29" s="26" t="s">
        <v>6</v>
      </c>
      <c r="G29" s="32">
        <v>5</v>
      </c>
      <c r="H29" s="33">
        <v>5</v>
      </c>
      <c r="I29" s="34">
        <v>35</v>
      </c>
      <c r="J29" s="35"/>
      <c r="K29" s="35"/>
      <c r="L29" s="36" cm="1">
        <f t="array" ref="L29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175</v>
      </c>
    </row>
    <row r="30" spans="1:12" ht="15.75" x14ac:dyDescent="0.25">
      <c r="A30" s="28">
        <v>23</v>
      </c>
      <c r="B30" s="37">
        <v>60462000000</v>
      </c>
      <c r="C30" s="29" t="s">
        <v>58</v>
      </c>
      <c r="D30" s="30" t="s">
        <v>67</v>
      </c>
      <c r="E30" s="25" t="s">
        <v>6</v>
      </c>
      <c r="F30" s="26" t="s">
        <v>6</v>
      </c>
      <c r="G30" s="32">
        <v>1</v>
      </c>
      <c r="H30" s="33">
        <v>1</v>
      </c>
      <c r="I30" s="34">
        <v>19.357500000000002</v>
      </c>
      <c r="J30" s="35"/>
      <c r="K30" s="35"/>
      <c r="L30" s="36" cm="1">
        <f t="array" ref="L30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19.357500000000002</v>
      </c>
    </row>
    <row r="31" spans="1:12" ht="15.75" x14ac:dyDescent="0.25">
      <c r="A31" s="28">
        <v>24</v>
      </c>
      <c r="B31" s="37">
        <v>60661000000</v>
      </c>
      <c r="C31" s="29" t="s">
        <v>58</v>
      </c>
      <c r="D31" s="30" t="s">
        <v>70</v>
      </c>
      <c r="E31" s="25" t="s">
        <v>6</v>
      </c>
      <c r="F31" s="26" t="s">
        <v>6</v>
      </c>
      <c r="G31" s="32">
        <v>1</v>
      </c>
      <c r="H31" s="33">
        <v>1</v>
      </c>
      <c r="I31" s="34">
        <v>26.25</v>
      </c>
      <c r="J31" s="35"/>
      <c r="K31" s="35"/>
      <c r="L31" s="36" cm="1">
        <f t="array" ref="L31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26.25</v>
      </c>
    </row>
    <row r="32" spans="1:12" ht="15.75" x14ac:dyDescent="0.25">
      <c r="A32" s="11">
        <v>25</v>
      </c>
      <c r="B32" s="20"/>
      <c r="C32" s="20" t="s">
        <v>9</v>
      </c>
      <c r="D32" s="12" t="s">
        <v>14</v>
      </c>
      <c r="E32" s="25" t="s">
        <v>6</v>
      </c>
      <c r="F32" s="26" t="s">
        <v>6</v>
      </c>
      <c r="G32" s="22">
        <v>10</v>
      </c>
      <c r="H32" s="33">
        <v>11</v>
      </c>
      <c r="I32" s="13">
        <v>92.5</v>
      </c>
      <c r="J32" s="14">
        <v>0.25</v>
      </c>
      <c r="K32" s="14"/>
      <c r="L32" s="15" cm="1">
        <f t="array" ref="L32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693.75</v>
      </c>
    </row>
    <row r="33" spans="1:12" ht="15.75" x14ac:dyDescent="0.25">
      <c r="A33" s="16">
        <v>26</v>
      </c>
      <c r="B33" s="38"/>
      <c r="C33" s="21" t="s">
        <v>10</v>
      </c>
      <c r="D33" s="17" t="s">
        <v>15</v>
      </c>
      <c r="E33" s="25" t="s">
        <v>6</v>
      </c>
      <c r="F33" s="27">
        <v>180</v>
      </c>
      <c r="G33" s="22">
        <v>0</v>
      </c>
      <c r="H33" s="33">
        <v>0</v>
      </c>
      <c r="I33" s="13">
        <v>0.56000000000000005</v>
      </c>
      <c r="J33" s="14"/>
      <c r="K33" s="14"/>
      <c r="L33" s="15" cm="1">
        <f t="array" ref="L33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34" spans="1:12" ht="15.75" x14ac:dyDescent="0.25">
      <c r="A34" s="11">
        <v>27</v>
      </c>
      <c r="B34" s="37"/>
      <c r="C34" s="21" t="s">
        <v>10</v>
      </c>
      <c r="D34" s="17" t="s">
        <v>87</v>
      </c>
      <c r="E34" s="25" t="s">
        <v>6</v>
      </c>
      <c r="F34" s="26">
        <v>200</v>
      </c>
      <c r="G34" s="22">
        <v>2594</v>
      </c>
      <c r="H34" s="33">
        <v>2594</v>
      </c>
      <c r="I34" s="13">
        <v>3.88</v>
      </c>
      <c r="J34" s="14"/>
      <c r="K34" s="14"/>
      <c r="L34" s="15" cm="1">
        <f t="array" ref="L34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10064.719999999999</v>
      </c>
    </row>
    <row r="35" spans="1:12" ht="15.75" x14ac:dyDescent="0.25">
      <c r="A35" s="11">
        <v>28</v>
      </c>
      <c r="B35" s="37"/>
      <c r="C35" s="21" t="s">
        <v>10</v>
      </c>
      <c r="D35" s="17" t="s">
        <v>16</v>
      </c>
      <c r="E35" s="25" t="s">
        <v>6</v>
      </c>
      <c r="F35" s="26">
        <v>360</v>
      </c>
      <c r="G35" s="22">
        <v>3182</v>
      </c>
      <c r="H35" s="33">
        <v>3182</v>
      </c>
      <c r="I35" s="13">
        <v>0.77</v>
      </c>
      <c r="J35" s="14"/>
      <c r="K35" s="14"/>
      <c r="L35" s="15" cm="1">
        <f t="array" ref="L35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2450.14</v>
      </c>
    </row>
    <row r="36" spans="1:12" ht="15.75" x14ac:dyDescent="0.25">
      <c r="A36" s="16">
        <v>29</v>
      </c>
      <c r="B36" s="38"/>
      <c r="C36" s="21" t="s">
        <v>10</v>
      </c>
      <c r="D36" s="17" t="s">
        <v>17</v>
      </c>
      <c r="E36" s="25" t="s">
        <v>6</v>
      </c>
      <c r="F36" s="26">
        <v>160</v>
      </c>
      <c r="G36" s="22">
        <v>1539</v>
      </c>
      <c r="H36" s="33">
        <v>1539</v>
      </c>
      <c r="I36" s="13">
        <v>1.45</v>
      </c>
      <c r="J36" s="14"/>
      <c r="K36" s="14"/>
      <c r="L36" s="15" cm="1">
        <f t="array" ref="L36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2231.5499999999997</v>
      </c>
    </row>
    <row r="37" spans="1:12" ht="15.75" x14ac:dyDescent="0.25">
      <c r="A37" s="11">
        <v>30</v>
      </c>
      <c r="B37" s="37"/>
      <c r="C37" s="21" t="s">
        <v>10</v>
      </c>
      <c r="D37" s="17" t="s">
        <v>18</v>
      </c>
      <c r="E37" s="25" t="s">
        <v>6</v>
      </c>
      <c r="F37" s="26">
        <v>150</v>
      </c>
      <c r="G37" s="22">
        <v>750</v>
      </c>
      <c r="H37" s="33">
        <v>900</v>
      </c>
      <c r="I37" s="13">
        <v>0.97199999999999998</v>
      </c>
      <c r="J37" s="14"/>
      <c r="K37" s="14"/>
      <c r="L37" s="15" cm="1">
        <f t="array" ref="L37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729</v>
      </c>
    </row>
    <row r="38" spans="1:12" ht="15.75" x14ac:dyDescent="0.25">
      <c r="A38" s="16">
        <v>31</v>
      </c>
      <c r="B38" s="38"/>
      <c r="C38" s="21" t="s">
        <v>10</v>
      </c>
      <c r="D38" s="17" t="s">
        <v>19</v>
      </c>
      <c r="E38" s="25" t="s">
        <v>6</v>
      </c>
      <c r="F38" s="26">
        <v>330</v>
      </c>
      <c r="G38" s="22">
        <v>2788</v>
      </c>
      <c r="H38" s="33">
        <v>2788</v>
      </c>
      <c r="I38" s="13">
        <v>0.89100000000000001</v>
      </c>
      <c r="J38" s="14"/>
      <c r="K38" s="14"/>
      <c r="L38" s="15" cm="1">
        <f t="array" ref="L38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2484.1080000000002</v>
      </c>
    </row>
    <row r="39" spans="1:12" ht="15.75" x14ac:dyDescent="0.25">
      <c r="A39" s="11">
        <v>32</v>
      </c>
      <c r="B39" s="37"/>
      <c r="C39" s="21" t="s">
        <v>10</v>
      </c>
      <c r="D39" s="17" t="s">
        <v>20</v>
      </c>
      <c r="E39" s="25" t="s">
        <v>6</v>
      </c>
      <c r="F39" s="26">
        <v>330</v>
      </c>
      <c r="G39" s="22">
        <v>2520</v>
      </c>
      <c r="H39" s="33">
        <v>2520</v>
      </c>
      <c r="I39" s="13">
        <v>1.1093999999999999</v>
      </c>
      <c r="J39" s="14"/>
      <c r="K39" s="14"/>
      <c r="L39" s="15" cm="1">
        <f t="array" ref="L39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2795.6879999999996</v>
      </c>
    </row>
    <row r="40" spans="1:12" ht="15.75" x14ac:dyDescent="0.25">
      <c r="A40" s="11">
        <v>33</v>
      </c>
      <c r="B40" s="37"/>
      <c r="C40" s="21" t="s">
        <v>10</v>
      </c>
      <c r="D40" s="17" t="s">
        <v>21</v>
      </c>
      <c r="E40" s="25" t="s">
        <v>6</v>
      </c>
      <c r="F40" s="26">
        <v>180</v>
      </c>
      <c r="G40" s="22">
        <v>1620</v>
      </c>
      <c r="H40" s="33">
        <v>1620</v>
      </c>
      <c r="I40" s="13">
        <v>2.7282000000000002</v>
      </c>
      <c r="J40" s="14"/>
      <c r="K40" s="14"/>
      <c r="L40" s="15" cm="1">
        <f t="array" ref="L40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4419.6840000000002</v>
      </c>
    </row>
    <row r="41" spans="1:12" ht="15.75" x14ac:dyDescent="0.25">
      <c r="A41" s="16">
        <v>34</v>
      </c>
      <c r="B41" s="38"/>
      <c r="C41" s="21" t="s">
        <v>10</v>
      </c>
      <c r="D41" s="17" t="s">
        <v>22</v>
      </c>
      <c r="E41" s="25" t="s">
        <v>6</v>
      </c>
      <c r="F41" s="26">
        <v>165</v>
      </c>
      <c r="G41" s="22">
        <v>2145</v>
      </c>
      <c r="H41" s="33">
        <v>2145</v>
      </c>
      <c r="I41" s="13">
        <v>1.591</v>
      </c>
      <c r="J41" s="14"/>
      <c r="K41" s="14"/>
      <c r="L41" s="15" cm="1">
        <f t="array" ref="L41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3412.6949999999997</v>
      </c>
    </row>
    <row r="42" spans="1:12" ht="15.75" x14ac:dyDescent="0.25">
      <c r="A42" s="11">
        <v>35</v>
      </c>
      <c r="B42" s="37"/>
      <c r="C42" s="21" t="s">
        <v>10</v>
      </c>
      <c r="D42" s="17" t="s">
        <v>23</v>
      </c>
      <c r="E42" s="25" t="s">
        <v>6</v>
      </c>
      <c r="F42" s="26">
        <v>200</v>
      </c>
      <c r="G42" s="22">
        <v>0</v>
      </c>
      <c r="H42" s="33">
        <v>0</v>
      </c>
      <c r="I42" s="13">
        <v>1.1330659999999999</v>
      </c>
      <c r="J42" s="14"/>
      <c r="K42" s="14"/>
      <c r="L42" s="15" cm="1">
        <f t="array" ref="L42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43" spans="1:12" ht="15.75" x14ac:dyDescent="0.25">
      <c r="A43" s="16">
        <v>36</v>
      </c>
      <c r="B43" s="38"/>
      <c r="C43" s="21" t="s">
        <v>10</v>
      </c>
      <c r="D43" s="17" t="s">
        <v>24</v>
      </c>
      <c r="E43" s="25" t="s">
        <v>6</v>
      </c>
      <c r="F43" s="26" t="s">
        <v>6</v>
      </c>
      <c r="G43" s="22">
        <v>0</v>
      </c>
      <c r="H43" s="33">
        <v>0</v>
      </c>
      <c r="I43" s="13">
        <v>0</v>
      </c>
      <c r="J43" s="14"/>
      <c r="K43" s="14"/>
      <c r="L43" s="15" cm="1">
        <f t="array" ref="L43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44" spans="1:12" ht="15.75" x14ac:dyDescent="0.25">
      <c r="A44" s="11">
        <v>37</v>
      </c>
      <c r="B44" s="37"/>
      <c r="C44" s="21" t="s">
        <v>10</v>
      </c>
      <c r="D44" s="17" t="s">
        <v>25</v>
      </c>
      <c r="E44" s="25" t="s">
        <v>6</v>
      </c>
      <c r="F44" s="26" t="s">
        <v>6</v>
      </c>
      <c r="G44" s="22">
        <v>0</v>
      </c>
      <c r="H44" s="33">
        <v>0</v>
      </c>
      <c r="I44" s="13">
        <v>0</v>
      </c>
      <c r="J44" s="14"/>
      <c r="K44" s="14"/>
      <c r="L44" s="15" cm="1">
        <f t="array" ref="L44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45" spans="1:12" ht="15.75" x14ac:dyDescent="0.25">
      <c r="A45" s="11">
        <v>38</v>
      </c>
      <c r="B45" s="37"/>
      <c r="C45" s="21" t="s">
        <v>10</v>
      </c>
      <c r="D45" s="17" t="s">
        <v>26</v>
      </c>
      <c r="E45" s="25" t="s">
        <v>6</v>
      </c>
      <c r="F45" s="26">
        <v>200</v>
      </c>
      <c r="G45" s="22">
        <v>0</v>
      </c>
      <c r="H45" s="33">
        <v>0</v>
      </c>
      <c r="I45" s="13">
        <v>0.90155300000000005</v>
      </c>
      <c r="J45" s="14"/>
      <c r="K45" s="14"/>
      <c r="L45" s="15" cm="1">
        <f t="array" ref="L45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46" spans="1:12" ht="15.75" x14ac:dyDescent="0.25">
      <c r="A46" s="16">
        <v>39</v>
      </c>
      <c r="B46" s="38"/>
      <c r="C46" s="21" t="s">
        <v>11</v>
      </c>
      <c r="D46" s="17" t="s">
        <v>27</v>
      </c>
      <c r="E46" s="25" t="s">
        <v>6</v>
      </c>
      <c r="F46" s="26">
        <v>60</v>
      </c>
      <c r="G46" s="22">
        <v>0</v>
      </c>
      <c r="H46" s="33">
        <v>0</v>
      </c>
      <c r="I46" s="13">
        <v>63</v>
      </c>
      <c r="J46" s="14"/>
      <c r="K46" s="14"/>
      <c r="L46" s="15" cm="1">
        <f t="array" ref="L46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47" spans="1:12" ht="15.75" x14ac:dyDescent="0.25">
      <c r="A47" s="11">
        <v>40</v>
      </c>
      <c r="B47" s="37"/>
      <c r="C47" s="21" t="s">
        <v>11</v>
      </c>
      <c r="D47" s="17" t="s">
        <v>28</v>
      </c>
      <c r="E47" s="25" t="s">
        <v>6</v>
      </c>
      <c r="F47" s="26">
        <v>60</v>
      </c>
      <c r="G47" s="22">
        <v>0</v>
      </c>
      <c r="H47" s="33">
        <v>0</v>
      </c>
      <c r="I47" s="13">
        <v>29.88</v>
      </c>
      <c r="J47" s="14"/>
      <c r="K47" s="14"/>
      <c r="L47" s="15" cm="1">
        <f t="array" ref="L47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48" spans="1:12" ht="15.75" x14ac:dyDescent="0.25">
      <c r="A48" s="16">
        <v>41</v>
      </c>
      <c r="B48" s="38"/>
      <c r="C48" s="21" t="s">
        <v>11</v>
      </c>
      <c r="D48" s="17" t="s">
        <v>111</v>
      </c>
      <c r="E48" s="25" t="s">
        <v>6</v>
      </c>
      <c r="F48" s="26">
        <v>60</v>
      </c>
      <c r="G48" s="22">
        <v>7</v>
      </c>
      <c r="H48" s="33">
        <v>7</v>
      </c>
      <c r="I48" s="13">
        <v>38.880000000000003</v>
      </c>
      <c r="J48" s="14"/>
      <c r="K48" s="14"/>
      <c r="L48" s="15" cm="1">
        <f t="array" ref="L48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272.16000000000003</v>
      </c>
    </row>
    <row r="49" spans="1:12" ht="15.75" x14ac:dyDescent="0.25">
      <c r="A49" s="11">
        <v>42</v>
      </c>
      <c r="B49" s="37"/>
      <c r="C49" s="21" t="s">
        <v>11</v>
      </c>
      <c r="D49" s="17" t="s">
        <v>112</v>
      </c>
      <c r="E49" s="25" t="s">
        <v>6</v>
      </c>
      <c r="F49" s="26">
        <v>54</v>
      </c>
      <c r="G49" s="22">
        <v>30</v>
      </c>
      <c r="H49" s="33">
        <v>51</v>
      </c>
      <c r="I49" s="13">
        <v>41.04</v>
      </c>
      <c r="J49" s="14"/>
      <c r="K49" s="14"/>
      <c r="L49" s="15" cm="1">
        <f t="array" ref="L49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1231.2</v>
      </c>
    </row>
    <row r="50" spans="1:12" ht="15.75" x14ac:dyDescent="0.25">
      <c r="A50" s="11">
        <v>43</v>
      </c>
      <c r="B50" s="37"/>
      <c r="C50" s="21" t="s">
        <v>11</v>
      </c>
      <c r="D50" s="17" t="s">
        <v>113</v>
      </c>
      <c r="E50" s="25" t="s">
        <v>6</v>
      </c>
      <c r="F50" s="26">
        <v>54</v>
      </c>
      <c r="G50" s="22">
        <v>0</v>
      </c>
      <c r="H50" s="33">
        <v>0</v>
      </c>
      <c r="I50" s="13">
        <v>54.72</v>
      </c>
      <c r="J50" s="14"/>
      <c r="K50" s="14"/>
      <c r="L50" s="15" cm="1">
        <f t="array" ref="L50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51" spans="1:12" ht="15.75" x14ac:dyDescent="0.25">
      <c r="A51" s="16">
        <v>44</v>
      </c>
      <c r="B51" s="38"/>
      <c r="C51" s="21" t="s">
        <v>11</v>
      </c>
      <c r="D51" s="17" t="s">
        <v>29</v>
      </c>
      <c r="E51" s="25" t="s">
        <v>6</v>
      </c>
      <c r="F51" s="26">
        <v>8</v>
      </c>
      <c r="G51" s="22">
        <v>6</v>
      </c>
      <c r="H51" s="33">
        <v>6</v>
      </c>
      <c r="I51" s="13">
        <v>4.17</v>
      </c>
      <c r="J51" s="14"/>
      <c r="K51" s="14"/>
      <c r="L51" s="15" cm="1">
        <f t="array" ref="L51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25.02</v>
      </c>
    </row>
    <row r="52" spans="1:12" ht="15.75" x14ac:dyDescent="0.25">
      <c r="A52" s="11">
        <v>45</v>
      </c>
      <c r="B52" s="37"/>
      <c r="C52" s="21" t="s">
        <v>12</v>
      </c>
      <c r="D52" s="17" t="s">
        <v>30</v>
      </c>
      <c r="E52" s="25">
        <v>0.27500000000000002</v>
      </c>
      <c r="F52" s="26">
        <v>100</v>
      </c>
      <c r="G52" s="22">
        <v>9</v>
      </c>
      <c r="H52" s="33">
        <v>900</v>
      </c>
      <c r="I52" s="13">
        <v>7</v>
      </c>
      <c r="J52" s="14"/>
      <c r="K52" s="14"/>
      <c r="L52" s="15" cm="1">
        <f t="array" ref="L52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17.325000000000003</v>
      </c>
    </row>
    <row r="53" spans="1:12" ht="15.75" x14ac:dyDescent="0.25">
      <c r="A53" s="16">
        <v>46</v>
      </c>
      <c r="B53" s="38"/>
      <c r="C53" s="21" t="s">
        <v>12</v>
      </c>
      <c r="D53" s="17" t="s">
        <v>31</v>
      </c>
      <c r="E53" s="25">
        <v>1</v>
      </c>
      <c r="F53" s="26">
        <v>500</v>
      </c>
      <c r="G53" s="22">
        <v>168</v>
      </c>
      <c r="H53" s="33">
        <v>84500</v>
      </c>
      <c r="I53" s="13">
        <v>6.9</v>
      </c>
      <c r="J53" s="14"/>
      <c r="K53" s="14"/>
      <c r="L53" s="15" cm="1">
        <f t="array" ref="L53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1159.2</v>
      </c>
    </row>
    <row r="54" spans="1:12" ht="15.75" x14ac:dyDescent="0.25">
      <c r="A54" s="11">
        <v>47</v>
      </c>
      <c r="B54" s="37"/>
      <c r="C54" s="21" t="s">
        <v>12</v>
      </c>
      <c r="D54" s="17" t="s">
        <v>32</v>
      </c>
      <c r="E54" s="25">
        <v>1</v>
      </c>
      <c r="F54" s="26">
        <v>1000</v>
      </c>
      <c r="G54" s="22">
        <v>10</v>
      </c>
      <c r="H54" s="33">
        <v>13000</v>
      </c>
      <c r="I54" s="13">
        <v>10</v>
      </c>
      <c r="J54" s="14"/>
      <c r="K54" s="14"/>
      <c r="L54" s="15" cm="1">
        <f t="array" ref="L54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100</v>
      </c>
    </row>
    <row r="55" spans="1:12" ht="15.75" x14ac:dyDescent="0.25">
      <c r="A55" s="11">
        <v>48</v>
      </c>
      <c r="B55" s="37"/>
      <c r="C55" s="21" t="s">
        <v>12</v>
      </c>
      <c r="D55" s="17" t="s">
        <v>33</v>
      </c>
      <c r="E55" s="25">
        <v>0</v>
      </c>
      <c r="F55" s="26">
        <v>1000</v>
      </c>
      <c r="G55" s="22">
        <v>9</v>
      </c>
      <c r="H55" s="33">
        <v>9000</v>
      </c>
      <c r="I55" s="13">
        <v>11.24</v>
      </c>
      <c r="J55" s="14"/>
      <c r="K55" s="14"/>
      <c r="L55" s="15" cm="1">
        <f t="array" ref="L55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56" spans="1:12" ht="15.75" x14ac:dyDescent="0.25">
      <c r="A56" s="16">
        <v>49</v>
      </c>
      <c r="B56" s="38"/>
      <c r="C56" s="21" t="s">
        <v>12</v>
      </c>
      <c r="D56" s="17" t="s">
        <v>34</v>
      </c>
      <c r="E56" s="25">
        <v>1</v>
      </c>
      <c r="F56" s="26">
        <v>500</v>
      </c>
      <c r="G56" s="22">
        <v>372.4</v>
      </c>
      <c r="H56" s="33">
        <v>187700</v>
      </c>
      <c r="I56" s="13">
        <v>6.5750000000000002</v>
      </c>
      <c r="J56" s="14"/>
      <c r="K56" s="14"/>
      <c r="L56" s="15" cm="1">
        <f t="array" ref="L56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2448.5299999999997</v>
      </c>
    </row>
    <row r="57" spans="1:12" ht="15.75" x14ac:dyDescent="0.25">
      <c r="A57" s="11">
        <v>50</v>
      </c>
      <c r="B57" s="37"/>
      <c r="C57" s="21" t="s">
        <v>12</v>
      </c>
      <c r="D57" s="17" t="s">
        <v>35</v>
      </c>
      <c r="E57" s="25">
        <v>1</v>
      </c>
      <c r="F57" s="26">
        <v>500</v>
      </c>
      <c r="G57" s="22">
        <v>325</v>
      </c>
      <c r="H57" s="33">
        <v>162500</v>
      </c>
      <c r="I57" s="13">
        <v>1.575</v>
      </c>
      <c r="J57" s="14"/>
      <c r="K57" s="14"/>
      <c r="L57" s="15" cm="1">
        <f t="array" ref="L57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511.875</v>
      </c>
    </row>
    <row r="58" spans="1:12" ht="15.75" x14ac:dyDescent="0.25">
      <c r="A58" s="11">
        <v>51</v>
      </c>
      <c r="B58" s="37"/>
      <c r="C58" s="21" t="s">
        <v>12</v>
      </c>
      <c r="D58" s="17" t="s">
        <v>36</v>
      </c>
      <c r="E58" s="25">
        <v>1</v>
      </c>
      <c r="F58" s="26">
        <v>640</v>
      </c>
      <c r="G58" s="22">
        <v>216</v>
      </c>
      <c r="H58" s="33">
        <v>140160</v>
      </c>
      <c r="I58" s="13">
        <v>3.5</v>
      </c>
      <c r="J58" s="14"/>
      <c r="K58" s="14"/>
      <c r="L58" s="15" cm="1">
        <f t="array" ref="L58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756</v>
      </c>
    </row>
    <row r="59" spans="1:12" ht="15.75" x14ac:dyDescent="0.25">
      <c r="A59" s="16">
        <v>52</v>
      </c>
      <c r="B59" s="38"/>
      <c r="C59" s="21" t="s">
        <v>12</v>
      </c>
      <c r="D59" s="17" t="s">
        <v>37</v>
      </c>
      <c r="E59" s="25">
        <v>0.5</v>
      </c>
      <c r="F59" s="26">
        <v>500</v>
      </c>
      <c r="G59" s="22">
        <v>0</v>
      </c>
      <c r="H59" s="33">
        <v>0</v>
      </c>
      <c r="I59" s="13">
        <v>4.17</v>
      </c>
      <c r="J59" s="14"/>
      <c r="K59" s="14"/>
      <c r="L59" s="15" cm="1">
        <f t="array" ref="L59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60" spans="1:12" ht="15.75" x14ac:dyDescent="0.25">
      <c r="A60" s="11">
        <v>53</v>
      </c>
      <c r="B60" s="37"/>
      <c r="C60" s="21" t="s">
        <v>12</v>
      </c>
      <c r="D60" s="17" t="s">
        <v>38</v>
      </c>
      <c r="E60" s="25">
        <v>1</v>
      </c>
      <c r="F60" s="26">
        <v>500</v>
      </c>
      <c r="G60" s="22">
        <v>3.5</v>
      </c>
      <c r="H60" s="33">
        <v>2250</v>
      </c>
      <c r="I60" s="13">
        <v>13.35</v>
      </c>
      <c r="J60" s="14"/>
      <c r="K60" s="14"/>
      <c r="L60" s="15" cm="1">
        <f t="array" ref="L60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46.725000000000001</v>
      </c>
    </row>
    <row r="61" spans="1:12" ht="15.75" x14ac:dyDescent="0.25">
      <c r="A61" s="11">
        <v>54</v>
      </c>
      <c r="B61" s="37"/>
      <c r="C61" s="21" t="s">
        <v>12</v>
      </c>
      <c r="D61" s="17" t="s">
        <v>39</v>
      </c>
      <c r="E61" s="25">
        <v>1.55</v>
      </c>
      <c r="F61" s="26">
        <v>500</v>
      </c>
      <c r="G61" s="22">
        <v>9</v>
      </c>
      <c r="H61" s="33">
        <v>4500</v>
      </c>
      <c r="I61" s="13">
        <v>3.65</v>
      </c>
      <c r="J61" s="14"/>
      <c r="K61" s="14"/>
      <c r="L61" s="15" cm="1">
        <f t="array" ref="L61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50.917499999999997</v>
      </c>
    </row>
    <row r="62" spans="1:12" ht="15.75" x14ac:dyDescent="0.25">
      <c r="A62" s="16">
        <v>55</v>
      </c>
      <c r="B62" s="38"/>
      <c r="C62" s="21" t="s">
        <v>12</v>
      </c>
      <c r="D62" s="17" t="s">
        <v>40</v>
      </c>
      <c r="E62" s="25">
        <v>1</v>
      </c>
      <c r="F62" s="26">
        <v>430</v>
      </c>
      <c r="G62" s="22">
        <v>74</v>
      </c>
      <c r="H62" s="33">
        <v>34400</v>
      </c>
      <c r="I62" s="13">
        <v>3.5</v>
      </c>
      <c r="J62" s="14"/>
      <c r="K62" s="14"/>
      <c r="L62" s="15" cm="1">
        <f t="array" ref="L62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259</v>
      </c>
    </row>
    <row r="63" spans="1:12" ht="15.75" x14ac:dyDescent="0.25">
      <c r="A63" s="11">
        <v>56</v>
      </c>
      <c r="B63" s="37"/>
      <c r="C63" s="21" t="s">
        <v>12</v>
      </c>
      <c r="D63" s="17" t="s">
        <v>78</v>
      </c>
      <c r="E63" s="25">
        <v>1</v>
      </c>
      <c r="F63" s="26">
        <v>350</v>
      </c>
      <c r="G63" s="22">
        <v>7</v>
      </c>
      <c r="H63" s="33">
        <v>2450</v>
      </c>
      <c r="I63" s="13">
        <v>3.65</v>
      </c>
      <c r="J63" s="14"/>
      <c r="K63" s="14"/>
      <c r="L63" s="15" cm="1">
        <f t="array" ref="L63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25.55</v>
      </c>
    </row>
    <row r="64" spans="1:12" ht="15.75" x14ac:dyDescent="0.25">
      <c r="A64" s="16">
        <v>57</v>
      </c>
      <c r="B64" s="38"/>
      <c r="C64" s="21" t="s">
        <v>12</v>
      </c>
      <c r="D64" s="17" t="s">
        <v>41</v>
      </c>
      <c r="E64" s="25">
        <v>1</v>
      </c>
      <c r="F64" s="26">
        <v>270</v>
      </c>
      <c r="G64" s="22">
        <v>43</v>
      </c>
      <c r="H64" s="33">
        <v>15660</v>
      </c>
      <c r="I64" s="13">
        <v>3.45</v>
      </c>
      <c r="J64" s="14"/>
      <c r="K64" s="14"/>
      <c r="L64" s="15" cm="1">
        <f t="array" ref="L64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148.35</v>
      </c>
    </row>
    <row r="65" spans="1:12" ht="15.75" x14ac:dyDescent="0.25">
      <c r="A65" s="11">
        <v>58</v>
      </c>
      <c r="B65" s="37"/>
      <c r="C65" s="21" t="s">
        <v>12</v>
      </c>
      <c r="D65" s="17" t="s">
        <v>42</v>
      </c>
      <c r="E65" s="25">
        <v>2</v>
      </c>
      <c r="F65" s="26">
        <v>290</v>
      </c>
      <c r="G65" s="22">
        <v>33.690000000000509</v>
      </c>
      <c r="H65" s="33">
        <v>11220.100000000148</v>
      </c>
      <c r="I65" s="13">
        <v>3.45</v>
      </c>
      <c r="J65" s="14"/>
      <c r="K65" s="14"/>
      <c r="L65" s="15" cm="1">
        <f t="array" ref="L65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232.46100000000354</v>
      </c>
    </row>
    <row r="66" spans="1:12" ht="15.75" x14ac:dyDescent="0.25">
      <c r="A66" s="11">
        <v>59</v>
      </c>
      <c r="B66" s="37"/>
      <c r="C66" s="21" t="s">
        <v>12</v>
      </c>
      <c r="D66" s="17" t="s">
        <v>43</v>
      </c>
      <c r="E66" s="25">
        <v>2</v>
      </c>
      <c r="F66" s="26">
        <v>245</v>
      </c>
      <c r="G66" s="22">
        <v>153</v>
      </c>
      <c r="H66" s="33">
        <v>39200</v>
      </c>
      <c r="I66" s="13">
        <v>3.125</v>
      </c>
      <c r="J66" s="14"/>
      <c r="K66" s="14"/>
      <c r="L66" s="15" cm="1">
        <f t="array" ref="L66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956.25</v>
      </c>
    </row>
    <row r="67" spans="1:12" ht="15.75" x14ac:dyDescent="0.25">
      <c r="A67" s="16">
        <v>60</v>
      </c>
      <c r="B67" s="38"/>
      <c r="C67" s="21" t="s">
        <v>12</v>
      </c>
      <c r="D67" s="17" t="s">
        <v>44</v>
      </c>
      <c r="E67" s="25">
        <v>0</v>
      </c>
      <c r="F67" s="26">
        <v>500</v>
      </c>
      <c r="G67" s="22">
        <v>0</v>
      </c>
      <c r="H67" s="33">
        <v>0</v>
      </c>
      <c r="I67" s="13">
        <v>3.45</v>
      </c>
      <c r="J67" s="14"/>
      <c r="K67" s="14"/>
      <c r="L67" s="15" cm="1">
        <f t="array" ref="L67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68" spans="1:12" ht="15.75" x14ac:dyDescent="0.25">
      <c r="A68" s="11">
        <v>61</v>
      </c>
      <c r="B68" s="37"/>
      <c r="C68" s="21" t="s">
        <v>12</v>
      </c>
      <c r="D68" s="17" t="s">
        <v>45</v>
      </c>
      <c r="E68" s="25">
        <v>1.33</v>
      </c>
      <c r="F68" s="26">
        <v>200</v>
      </c>
      <c r="G68" s="22">
        <v>86</v>
      </c>
      <c r="H68" s="33">
        <v>17400</v>
      </c>
      <c r="I68" s="13">
        <v>3.45</v>
      </c>
      <c r="J68" s="14"/>
      <c r="K68" s="14"/>
      <c r="L68" s="15" cm="1">
        <f t="array" ref="L68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394.61100000000005</v>
      </c>
    </row>
    <row r="69" spans="1:12" ht="15.75" x14ac:dyDescent="0.25">
      <c r="A69" s="11">
        <v>62</v>
      </c>
      <c r="B69" s="37"/>
      <c r="C69" s="21" t="s">
        <v>12</v>
      </c>
      <c r="D69" s="17" t="s">
        <v>46</v>
      </c>
      <c r="E69" s="25">
        <v>1</v>
      </c>
      <c r="F69" s="26">
        <v>500</v>
      </c>
      <c r="G69" s="22">
        <v>0</v>
      </c>
      <c r="H69" s="33">
        <v>0</v>
      </c>
      <c r="I69" s="13">
        <v>3.45</v>
      </c>
      <c r="J69" s="14"/>
      <c r="K69" s="14"/>
      <c r="L69" s="15" cm="1">
        <f t="array" ref="L69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70" spans="1:12" ht="15.75" x14ac:dyDescent="0.25">
      <c r="A70" s="16">
        <v>63</v>
      </c>
      <c r="B70" s="38"/>
      <c r="C70" s="21" t="s">
        <v>12</v>
      </c>
      <c r="D70" s="17" t="s">
        <v>47</v>
      </c>
      <c r="E70" s="25">
        <v>2</v>
      </c>
      <c r="F70" s="26">
        <v>140</v>
      </c>
      <c r="G70" s="22">
        <v>209</v>
      </c>
      <c r="H70" s="33">
        <v>29400</v>
      </c>
      <c r="I70" s="13">
        <v>3.45</v>
      </c>
      <c r="J70" s="14"/>
      <c r="K70" s="14"/>
      <c r="L70" s="15" cm="1">
        <f t="array" ref="L70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1442.1000000000001</v>
      </c>
    </row>
    <row r="71" spans="1:12" ht="15.75" x14ac:dyDescent="0.25">
      <c r="A71" s="11">
        <v>64</v>
      </c>
      <c r="B71" s="37"/>
      <c r="C71" s="21" t="s">
        <v>12</v>
      </c>
      <c r="D71" s="17" t="s">
        <v>48</v>
      </c>
      <c r="E71" s="25">
        <v>2</v>
      </c>
      <c r="F71" s="26">
        <v>130</v>
      </c>
      <c r="G71" s="22">
        <v>286</v>
      </c>
      <c r="H71" s="33">
        <v>37440</v>
      </c>
      <c r="I71" s="13">
        <v>3.125</v>
      </c>
      <c r="J71" s="14"/>
      <c r="K71" s="14"/>
      <c r="L71" s="15" cm="1">
        <f t="array" ref="L71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1787.5</v>
      </c>
    </row>
    <row r="72" spans="1:12" ht="15.75" x14ac:dyDescent="0.25">
      <c r="A72" s="11">
        <v>65</v>
      </c>
      <c r="B72" s="37"/>
      <c r="C72" s="21" t="s">
        <v>12</v>
      </c>
      <c r="D72" s="17" t="s">
        <v>49</v>
      </c>
      <c r="E72" s="25">
        <v>2</v>
      </c>
      <c r="F72" s="26">
        <v>60</v>
      </c>
      <c r="G72" s="22">
        <v>84</v>
      </c>
      <c r="H72" s="33">
        <v>5040</v>
      </c>
      <c r="I72" s="13">
        <v>3.45</v>
      </c>
      <c r="J72" s="14"/>
      <c r="K72" s="14"/>
      <c r="L72" s="15" cm="1">
        <f t="array" ref="L72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579.6</v>
      </c>
    </row>
    <row r="73" spans="1:12" ht="15.75" x14ac:dyDescent="0.25">
      <c r="A73" s="16">
        <v>66</v>
      </c>
      <c r="B73" s="38"/>
      <c r="C73" s="21" t="s">
        <v>12</v>
      </c>
      <c r="D73" s="17" t="s">
        <v>50</v>
      </c>
      <c r="E73" s="25">
        <v>3</v>
      </c>
      <c r="F73" s="26">
        <v>50</v>
      </c>
      <c r="G73" s="22">
        <v>190</v>
      </c>
      <c r="H73" s="33">
        <v>9500</v>
      </c>
      <c r="I73" s="13">
        <v>3.125</v>
      </c>
      <c r="J73" s="14"/>
      <c r="K73" s="14"/>
      <c r="L73" s="15" cm="1">
        <f t="array" ref="L73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1781.25</v>
      </c>
    </row>
    <row r="74" spans="1:12" ht="15.75" x14ac:dyDescent="0.25">
      <c r="A74" s="11">
        <v>67</v>
      </c>
      <c r="B74" s="37"/>
      <c r="C74" s="21" t="s">
        <v>12</v>
      </c>
      <c r="D74" s="17" t="s">
        <v>109</v>
      </c>
      <c r="E74" s="25">
        <v>1</v>
      </c>
      <c r="F74" s="26">
        <v>400</v>
      </c>
      <c r="G74" s="22">
        <v>72</v>
      </c>
      <c r="H74" s="33">
        <v>29600</v>
      </c>
      <c r="I74" s="13">
        <v>3.45</v>
      </c>
      <c r="J74" s="14"/>
      <c r="K74" s="14"/>
      <c r="L74" s="15" cm="1">
        <f t="array" ref="L74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248.4</v>
      </c>
    </row>
    <row r="75" spans="1:12" ht="15.75" x14ac:dyDescent="0.25">
      <c r="A75" s="16">
        <v>68</v>
      </c>
      <c r="B75" s="38"/>
      <c r="C75" s="21" t="s">
        <v>13</v>
      </c>
      <c r="D75" s="17" t="s">
        <v>91</v>
      </c>
      <c r="E75" s="25" t="s">
        <v>6</v>
      </c>
      <c r="F75" s="26">
        <v>40</v>
      </c>
      <c r="G75" s="22">
        <v>977</v>
      </c>
      <c r="H75" s="33">
        <v>1297</v>
      </c>
      <c r="I75" s="13">
        <v>10.85</v>
      </c>
      <c r="J75" s="14"/>
      <c r="K75" s="14"/>
      <c r="L75" s="15" cm="1">
        <f t="array" ref="L75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10600.449999999999</v>
      </c>
    </row>
    <row r="76" spans="1:12" ht="15.75" x14ac:dyDescent="0.25">
      <c r="A76" s="28">
        <v>69</v>
      </c>
      <c r="B76" s="37"/>
      <c r="C76" s="29" t="s">
        <v>57</v>
      </c>
      <c r="D76" s="30" t="s">
        <v>79</v>
      </c>
      <c r="E76" s="39" t="s">
        <v>6</v>
      </c>
      <c r="F76" s="40">
        <v>437</v>
      </c>
      <c r="G76" s="32">
        <v>2588</v>
      </c>
      <c r="H76" s="41">
        <v>2938</v>
      </c>
      <c r="I76" s="34">
        <v>8.7919999999999998E-2</v>
      </c>
      <c r="J76" s="35"/>
      <c r="K76" s="35"/>
      <c r="L76" s="42" cm="1">
        <f t="array" ref="L76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227.53695999999999</v>
      </c>
    </row>
    <row r="77" spans="1:12" ht="15.75" x14ac:dyDescent="0.25">
      <c r="A77" s="28">
        <v>70</v>
      </c>
      <c r="B77" s="37"/>
      <c r="C77" s="29" t="s">
        <v>57</v>
      </c>
      <c r="D77" s="30" t="s">
        <v>80</v>
      </c>
      <c r="E77" s="39" t="s">
        <v>6</v>
      </c>
      <c r="F77" s="40">
        <v>216</v>
      </c>
      <c r="G77" s="32">
        <v>1505</v>
      </c>
      <c r="H77" s="41">
        <v>2225</v>
      </c>
      <c r="I77" s="34">
        <v>0.22362000000000001</v>
      </c>
      <c r="J77" s="35"/>
      <c r="K77" s="35"/>
      <c r="L77" s="42" cm="1">
        <f t="array" ref="L77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336.54810000000003</v>
      </c>
    </row>
    <row r="78" spans="1:12" ht="15.75" x14ac:dyDescent="0.25">
      <c r="A78" s="28">
        <v>71</v>
      </c>
      <c r="B78" s="37"/>
      <c r="C78" s="29" t="s">
        <v>57</v>
      </c>
      <c r="D78" s="30" t="s">
        <v>81</v>
      </c>
      <c r="E78" s="39" t="s">
        <v>6</v>
      </c>
      <c r="F78" s="40">
        <v>144</v>
      </c>
      <c r="G78" s="32">
        <v>1952</v>
      </c>
      <c r="H78" s="41">
        <v>2117</v>
      </c>
      <c r="I78" s="34">
        <v>0.34094000000000002</v>
      </c>
      <c r="J78" s="35"/>
      <c r="K78" s="35"/>
      <c r="L78" s="42" cm="1">
        <f t="array" ref="L78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665.51488000000006</v>
      </c>
    </row>
    <row r="79" spans="1:12" ht="15.75" x14ac:dyDescent="0.25">
      <c r="A79" s="28">
        <v>72</v>
      </c>
      <c r="B79" s="37"/>
      <c r="C79" s="29" t="s">
        <v>57</v>
      </c>
      <c r="D79" s="30" t="s">
        <v>82</v>
      </c>
      <c r="E79" s="39" t="s">
        <v>6</v>
      </c>
      <c r="F79" s="40">
        <v>70</v>
      </c>
      <c r="G79" s="32">
        <v>2554</v>
      </c>
      <c r="H79" s="41">
        <v>2624</v>
      </c>
      <c r="I79" s="34">
        <v>0.55000000000000004</v>
      </c>
      <c r="J79" s="35"/>
      <c r="K79" s="35"/>
      <c r="L79" s="42" cm="1">
        <f t="array" ref="L79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1404.7</v>
      </c>
    </row>
    <row r="80" spans="1:12" ht="15.75" x14ac:dyDescent="0.25">
      <c r="A80" s="28">
        <v>73</v>
      </c>
      <c r="B80" s="37"/>
      <c r="C80" s="29" t="s">
        <v>57</v>
      </c>
      <c r="D80" s="30" t="s">
        <v>83</v>
      </c>
      <c r="E80" s="39" t="s">
        <v>6</v>
      </c>
      <c r="F80" s="40" t="s">
        <v>6</v>
      </c>
      <c r="G80" s="32">
        <v>2300</v>
      </c>
      <c r="H80" s="41">
        <v>2640</v>
      </c>
      <c r="I80" s="34">
        <v>0</v>
      </c>
      <c r="J80" s="35"/>
      <c r="K80" s="35"/>
      <c r="L80" s="42" cm="1">
        <f t="array" ref="L80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81" spans="1:12" ht="15.75" x14ac:dyDescent="0.25">
      <c r="A81" s="28">
        <v>74</v>
      </c>
      <c r="B81" s="37"/>
      <c r="C81" s="29" t="s">
        <v>57</v>
      </c>
      <c r="D81" s="30" t="s">
        <v>84</v>
      </c>
      <c r="E81" s="39" t="s">
        <v>6</v>
      </c>
      <c r="F81" s="40" t="s">
        <v>6</v>
      </c>
      <c r="G81" s="32">
        <v>2364</v>
      </c>
      <c r="H81" s="41">
        <v>3088</v>
      </c>
      <c r="I81" s="34">
        <v>0</v>
      </c>
      <c r="J81" s="35"/>
      <c r="K81" s="35"/>
      <c r="L81" s="42" cm="1">
        <f t="array" ref="L81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82" spans="1:12" ht="15.75" x14ac:dyDescent="0.25">
      <c r="A82" s="28">
        <v>75</v>
      </c>
      <c r="B82" s="37"/>
      <c r="C82" s="29" t="s">
        <v>57</v>
      </c>
      <c r="D82" s="30" t="s">
        <v>85</v>
      </c>
      <c r="E82" s="39" t="s">
        <v>6</v>
      </c>
      <c r="F82" s="40" t="s">
        <v>6</v>
      </c>
      <c r="G82" s="32">
        <v>1851</v>
      </c>
      <c r="H82" s="41">
        <v>2016</v>
      </c>
      <c r="I82" s="34">
        <v>0</v>
      </c>
      <c r="J82" s="35"/>
      <c r="K82" s="35"/>
      <c r="L82" s="42" cm="1">
        <f t="array" ref="L82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83" spans="1:12" ht="15.75" x14ac:dyDescent="0.25">
      <c r="A83" s="28">
        <v>76</v>
      </c>
      <c r="B83" s="37"/>
      <c r="C83" s="29" t="s">
        <v>57</v>
      </c>
      <c r="D83" s="30" t="s">
        <v>86</v>
      </c>
      <c r="E83" s="39" t="s">
        <v>6</v>
      </c>
      <c r="F83" s="40" t="s">
        <v>6</v>
      </c>
      <c r="G83" s="32">
        <v>3110</v>
      </c>
      <c r="H83" s="41">
        <v>3190</v>
      </c>
      <c r="I83" s="34">
        <v>0</v>
      </c>
      <c r="J83" s="35"/>
      <c r="K83" s="35"/>
      <c r="L83" s="42" cm="1">
        <f t="array" ref="L83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84" spans="1:12" ht="15.75" x14ac:dyDescent="0.25">
      <c r="A84" s="28">
        <v>77</v>
      </c>
      <c r="B84" s="37"/>
      <c r="C84" s="29" t="s">
        <v>11</v>
      </c>
      <c r="D84" s="30" t="s">
        <v>88</v>
      </c>
      <c r="E84" s="39" t="s">
        <v>6</v>
      </c>
      <c r="F84" s="43">
        <v>54</v>
      </c>
      <c r="G84" s="32">
        <v>0</v>
      </c>
      <c r="H84" s="44">
        <v>0</v>
      </c>
      <c r="I84" s="34">
        <v>1.9590000000000001</v>
      </c>
      <c r="J84" s="35">
        <v>0.05</v>
      </c>
      <c r="K84" s="35"/>
      <c r="L84" s="45" cm="1">
        <f t="array" ref="L84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85" spans="1:12" ht="15.75" x14ac:dyDescent="0.25">
      <c r="A85" s="28">
        <v>78</v>
      </c>
      <c r="B85" s="37"/>
      <c r="C85" s="29" t="s">
        <v>11</v>
      </c>
      <c r="D85" s="30" t="s">
        <v>89</v>
      </c>
      <c r="E85" s="39" t="s">
        <v>6</v>
      </c>
      <c r="F85" s="43">
        <v>45</v>
      </c>
      <c r="G85" s="32">
        <v>67.990000000000009</v>
      </c>
      <c r="H85" s="44">
        <v>73.990000000000009</v>
      </c>
      <c r="I85" s="34">
        <v>70.524000000000001</v>
      </c>
      <c r="J85" s="35">
        <v>0.05</v>
      </c>
      <c r="K85" s="35"/>
      <c r="L85" s="45" cm="1">
        <f t="array" ref="L85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4555.1804220000004</v>
      </c>
    </row>
    <row r="86" spans="1:12" ht="15.75" x14ac:dyDescent="0.25">
      <c r="A86" s="28">
        <v>79</v>
      </c>
      <c r="B86" s="37"/>
      <c r="C86" s="29" t="s">
        <v>11</v>
      </c>
      <c r="D86" s="30" t="s">
        <v>90</v>
      </c>
      <c r="E86" s="39" t="s">
        <v>6</v>
      </c>
      <c r="F86" s="43" t="s">
        <v>6</v>
      </c>
      <c r="G86" s="32">
        <v>0</v>
      </c>
      <c r="H86" s="44">
        <v>0</v>
      </c>
      <c r="I86" s="34">
        <v>1.99</v>
      </c>
      <c r="J86" s="35">
        <v>0.05</v>
      </c>
      <c r="K86" s="35"/>
      <c r="L86" s="45" cm="1">
        <f t="array" ref="L86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87" spans="1:12" ht="15.75" x14ac:dyDescent="0.25">
      <c r="A87" s="28">
        <v>80</v>
      </c>
      <c r="B87" s="37"/>
      <c r="C87" s="29" t="s">
        <v>12</v>
      </c>
      <c r="D87" s="30" t="s">
        <v>110</v>
      </c>
      <c r="E87" s="39">
        <v>1</v>
      </c>
      <c r="F87" s="66">
        <v>270</v>
      </c>
      <c r="G87" s="32">
        <v>57</v>
      </c>
      <c r="H87" s="67">
        <v>15930</v>
      </c>
      <c r="I87" s="34">
        <v>3.45</v>
      </c>
      <c r="J87" s="35"/>
      <c r="K87" s="35"/>
      <c r="L87" s="68" cm="1">
        <f t="array" ref="L87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196.65</v>
      </c>
    </row>
    <row r="88" spans="1:12" ht="15.75" x14ac:dyDescent="0.25">
      <c r="A88" s="28">
        <v>81</v>
      </c>
      <c r="B88" s="37"/>
      <c r="C88" s="29" t="s">
        <v>11</v>
      </c>
      <c r="D88" s="30" t="s">
        <v>114</v>
      </c>
      <c r="E88" s="39" t="s">
        <v>6</v>
      </c>
      <c r="F88" s="69">
        <v>60</v>
      </c>
      <c r="G88" s="32">
        <v>0</v>
      </c>
      <c r="H88" s="70">
        <v>0</v>
      </c>
      <c r="I88" s="34">
        <v>25.2</v>
      </c>
      <c r="J88" s="35"/>
      <c r="K88" s="35"/>
      <c r="L88" s="71" cm="1">
        <f t="array" ref="L88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89" spans="1:12" ht="15.75" x14ac:dyDescent="0.25">
      <c r="A89" s="28">
        <v>82</v>
      </c>
      <c r="B89" s="37"/>
      <c r="C89" s="29" t="s">
        <v>11</v>
      </c>
      <c r="D89" s="30" t="s">
        <v>115</v>
      </c>
      <c r="E89" s="39" t="s">
        <v>6</v>
      </c>
      <c r="F89" s="69">
        <v>60</v>
      </c>
      <c r="G89" s="32">
        <v>0</v>
      </c>
      <c r="H89" s="70">
        <v>0</v>
      </c>
      <c r="I89" s="34">
        <v>27</v>
      </c>
      <c r="J89" s="35"/>
      <c r="K89" s="35"/>
      <c r="L89" s="71" cm="1">
        <f t="array" ref="L89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0</v>
      </c>
    </row>
    <row r="90" spans="1:12" ht="15.75" x14ac:dyDescent="0.25">
      <c r="A90" s="28">
        <v>83</v>
      </c>
      <c r="B90" s="37"/>
      <c r="C90" s="29" t="s">
        <v>11</v>
      </c>
      <c r="D90" s="30" t="s">
        <v>121</v>
      </c>
      <c r="E90" s="39" t="s">
        <v>6</v>
      </c>
      <c r="F90" s="72">
        <v>8</v>
      </c>
      <c r="G90" s="32">
        <v>238</v>
      </c>
      <c r="H90" s="73">
        <v>240</v>
      </c>
      <c r="I90" s="34">
        <v>3.6</v>
      </c>
      <c r="J90" s="35"/>
      <c r="K90" s="35"/>
      <c r="L90" s="74" cm="1">
        <f t="array" ref="L90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856.80000000000007</v>
      </c>
    </row>
    <row r="91" spans="1:12" ht="15.75" x14ac:dyDescent="0.25">
      <c r="A91" s="28">
        <v>84</v>
      </c>
      <c r="B91" s="37"/>
      <c r="C91" s="29" t="s">
        <v>11</v>
      </c>
      <c r="D91" s="30" t="s">
        <v>122</v>
      </c>
      <c r="E91" s="39" t="s">
        <v>6</v>
      </c>
      <c r="F91" s="72">
        <v>45</v>
      </c>
      <c r="G91" s="32">
        <v>11</v>
      </c>
      <c r="H91" s="73">
        <v>12</v>
      </c>
      <c r="I91" s="34">
        <v>88.92</v>
      </c>
      <c r="J91" s="35"/>
      <c r="K91" s="35"/>
      <c r="L91" s="74" cm="1">
        <f t="array" ref="L91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978.12</v>
      </c>
    </row>
    <row r="92" spans="1:12" ht="15.75" x14ac:dyDescent="0.25">
      <c r="A92" s="28">
        <v>85</v>
      </c>
      <c r="B92" s="37"/>
      <c r="C92" s="29" t="s">
        <v>12</v>
      </c>
      <c r="D92" s="30" t="s">
        <v>123</v>
      </c>
      <c r="E92" s="39">
        <v>2</v>
      </c>
      <c r="F92" s="72">
        <v>130</v>
      </c>
      <c r="G92" s="32">
        <v>289</v>
      </c>
      <c r="H92" s="73">
        <v>37700</v>
      </c>
      <c r="I92" s="34">
        <v>3.45</v>
      </c>
      <c r="J92" s="35"/>
      <c r="K92" s="35"/>
      <c r="L92" s="74" cm="1">
        <f t="array" ref="L92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1994.1000000000001</v>
      </c>
    </row>
    <row r="93" spans="1:12" ht="15.75" x14ac:dyDescent="0.25">
      <c r="A93" s="28">
        <v>86</v>
      </c>
      <c r="B93" s="37"/>
      <c r="C93" s="29" t="s">
        <v>12</v>
      </c>
      <c r="D93" s="30" t="s">
        <v>124</v>
      </c>
      <c r="E93" s="39">
        <v>1</v>
      </c>
      <c r="F93" s="72">
        <v>1000</v>
      </c>
      <c r="G93" s="32">
        <v>350</v>
      </c>
      <c r="H93" s="73">
        <v>350000</v>
      </c>
      <c r="I93" s="34">
        <v>3.0619999999999998</v>
      </c>
      <c r="J93" s="35"/>
      <c r="K93" s="35"/>
      <c r="L93" s="74" cm="1">
        <f t="array" ref="L93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1071.7</v>
      </c>
    </row>
    <row r="94" spans="1:12" ht="15.75" x14ac:dyDescent="0.25">
      <c r="A94" s="28">
        <v>87</v>
      </c>
      <c r="B94" s="37"/>
      <c r="C94" s="29" t="s">
        <v>12</v>
      </c>
      <c r="D94" s="30" t="s">
        <v>128</v>
      </c>
      <c r="E94" s="39">
        <v>1</v>
      </c>
      <c r="F94" s="75">
        <v>250</v>
      </c>
      <c r="G94" s="32">
        <v>632.40000000000009</v>
      </c>
      <c r="H94" s="76">
        <v>146100.00000000003</v>
      </c>
      <c r="I94" s="34">
        <v>10.925000000000001</v>
      </c>
      <c r="J94" s="35"/>
      <c r="K94" s="35"/>
      <c r="L94" s="77" cm="1">
        <f t="array" ref="L94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6908.9700000000012</v>
      </c>
    </row>
    <row r="95" spans="1:12" ht="15.75" x14ac:dyDescent="0.25">
      <c r="A95" s="28">
        <v>88</v>
      </c>
      <c r="B95" s="37"/>
      <c r="C95" s="29" t="s">
        <v>12</v>
      </c>
      <c r="D95" s="30" t="s">
        <v>129</v>
      </c>
      <c r="E95" s="39">
        <v>1</v>
      </c>
      <c r="F95" s="75">
        <v>250</v>
      </c>
      <c r="G95" s="32">
        <v>75</v>
      </c>
      <c r="H95" s="76">
        <v>18750</v>
      </c>
      <c r="I95" s="34">
        <v>14.141500000000001</v>
      </c>
      <c r="J95" s="35"/>
      <c r="K95" s="35"/>
      <c r="L95" s="77" cm="1">
        <f t="array" ref="L95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1060.6125</v>
      </c>
    </row>
    <row r="96" spans="1:12" ht="15.75" x14ac:dyDescent="0.25">
      <c r="A96" s="28">
        <v>89</v>
      </c>
      <c r="B96" s="37"/>
      <c r="C96" s="29" t="s">
        <v>12</v>
      </c>
      <c r="D96" s="30" t="s">
        <v>130</v>
      </c>
      <c r="E96" s="39">
        <v>1</v>
      </c>
      <c r="F96" s="75">
        <v>500</v>
      </c>
      <c r="G96" s="32">
        <v>24</v>
      </c>
      <c r="H96" s="76">
        <v>12000</v>
      </c>
      <c r="I96" s="34">
        <v>28.59</v>
      </c>
      <c r="J96" s="35"/>
      <c r="K96" s="35"/>
      <c r="L96" s="77" cm="1">
        <f t="array" ref="L96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686.16</v>
      </c>
    </row>
    <row r="97" spans="1:12" ht="15.75" x14ac:dyDescent="0.25">
      <c r="A97" s="28">
        <v>90</v>
      </c>
      <c r="B97" s="37"/>
      <c r="C97" s="29" t="s">
        <v>12</v>
      </c>
      <c r="D97" s="30" t="s">
        <v>131</v>
      </c>
      <c r="E97" s="39">
        <v>1</v>
      </c>
      <c r="F97" s="75">
        <v>500</v>
      </c>
      <c r="G97" s="32">
        <v>24</v>
      </c>
      <c r="H97" s="76">
        <v>12000</v>
      </c>
      <c r="I97" s="34">
        <v>35.890999999999998</v>
      </c>
      <c r="J97" s="35"/>
      <c r="K97" s="35"/>
      <c r="L97" s="77" cm="1">
        <f t="array" ref="L97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861.38400000000001</v>
      </c>
    </row>
    <row r="98" spans="1:12" ht="15.75" x14ac:dyDescent="0.25">
      <c r="A98" s="28">
        <v>91</v>
      </c>
      <c r="B98" s="37"/>
      <c r="C98" s="29" t="s">
        <v>12</v>
      </c>
      <c r="D98" s="30" t="s">
        <v>132</v>
      </c>
      <c r="E98" s="39">
        <v>1</v>
      </c>
      <c r="F98" s="75">
        <v>500</v>
      </c>
      <c r="G98" s="32">
        <v>27</v>
      </c>
      <c r="H98" s="76">
        <v>13500</v>
      </c>
      <c r="I98" s="34">
        <v>70.242000000000004</v>
      </c>
      <c r="J98" s="35"/>
      <c r="K98" s="35"/>
      <c r="L98" s="77" cm="1">
        <f t="array" ref="L98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1896.5340000000001</v>
      </c>
    </row>
    <row r="99" spans="1:12" ht="15.75" x14ac:dyDescent="0.25">
      <c r="A99" s="28">
        <v>92</v>
      </c>
      <c r="B99" s="37"/>
      <c r="C99" s="29" t="s">
        <v>11</v>
      </c>
      <c r="D99" s="30" t="s">
        <v>133</v>
      </c>
      <c r="E99" s="39" t="s">
        <v>6</v>
      </c>
      <c r="F99" s="97">
        <v>36</v>
      </c>
      <c r="G99" s="32">
        <v>72</v>
      </c>
      <c r="H99" s="98">
        <v>33</v>
      </c>
      <c r="I99" s="34">
        <v>22.2624</v>
      </c>
      <c r="J99" s="35"/>
      <c r="K99" s="35"/>
      <c r="L99" s="99" cm="1">
        <f t="array" ref="L99">IF(BD_ART.[[#This Row],[Kg X Paq.]]="-",PRODUCT(1-BD_ART.[[#This Row],[Dto.1]:[Dto.2]])*BD_ART.[[#This Row],[Precio]]*BD_ART.[[#This Row],[STOCK]],PRODUCT(1-BD_ART.[[#This Row],[Dto.1]:[Dto.2]])*BD_ART.[[#This Row],[Precio]]*BD_ART.[[#This Row],[Kg X Paq.]]*BD_ART.[[#This Row],[STOCK]])</f>
        <v>1602.8928000000001</v>
      </c>
    </row>
    <row r="100" spans="1:12" ht="15" x14ac:dyDescent="0.25">
      <c r="A100" s="18" t="s">
        <v>52</v>
      </c>
      <c r="B100" s="18"/>
      <c r="C100" s="113"/>
      <c r="D100" s="114"/>
      <c r="E100" s="115"/>
      <c r="F100" s="116"/>
      <c r="G100" s="117">
        <f>SUBTOTAL(109,BD_ART.[STOCK])</f>
        <v>360739.98000000004</v>
      </c>
      <c r="H100" s="116"/>
      <c r="I100" s="23"/>
      <c r="J100" s="118"/>
      <c r="K100" s="118"/>
      <c r="L100" s="119">
        <f>SUBTOTAL(109,BD_ART.[Valor])</f>
        <v>154870.38680450831</v>
      </c>
    </row>
  </sheetData>
  <sheetProtection algorithmName="SHA-512" hashValue="6o0zkIuQaYSs7MloF9vakjyc4USuMGKVSaE4epB/hyFAIIidn0A/NheUTJsaUfRZ2Aub4uFqwL2f+B06/8QPQg==" saltValue="m6ndjb9y9gYXr4OCSdhTtQ==" spinCount="100000" sheet="1" pivotTables="0"/>
  <mergeCells count="3">
    <mergeCell ref="A4:C4"/>
    <mergeCell ref="A5:C5"/>
    <mergeCell ref="A2:G2"/>
  </mergeCells>
  <conditionalFormatting sqref="G8:G99">
    <cfRule type="cellIs" dxfId="12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RESUMEN</vt:lpstr>
      <vt:lpstr>INV.</vt:lpstr>
      <vt:lpstr>RESUMEN!Área_de_impresión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Lopez Rojas</dc:creator>
  <cp:lastModifiedBy>Christian  López Rojas</cp:lastModifiedBy>
  <dcterms:created xsi:type="dcterms:W3CDTF">2020-12-30T14:16:24Z</dcterms:created>
  <dcterms:modified xsi:type="dcterms:W3CDTF">2025-12-09T07:43:40Z</dcterms:modified>
</cp:coreProperties>
</file>